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vin\Downloads\Desalination Project Code\"/>
    </mc:Choice>
  </mc:AlternateContent>
  <xr:revisionPtr revIDLastSave="0" documentId="13_ncr:1_{9DB223BD-F2AE-41E9-8BFB-3ED73E0C20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rt 1" sheetId="1" r:id="rId1"/>
    <sheet name="Par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<sst xmlns="http://schemas.openxmlformats.org/spreadsheetml/2006/main" count="85" uniqueCount="57">
  <si>
    <t>Electrical Components</t>
  </si>
  <si>
    <t>Quantity</t>
  </si>
  <si>
    <t>Unit Cost (USD)</t>
  </si>
  <si>
    <t>Total Cost</t>
  </si>
  <si>
    <t>Lifespan</t>
  </si>
  <si>
    <t>1.5 MW Turbine (GE Vernova 1.5sle)</t>
  </si>
  <si>
    <t>PLC (Siemens SIMATIC S7-1200 CPU1215C-1)</t>
  </si>
  <si>
    <t>Battery Fraction</t>
  </si>
  <si>
    <t>Tank Fraction</t>
  </si>
  <si>
    <t>Battery kWh</t>
  </si>
  <si>
    <t>Tank Gal</t>
  </si>
  <si>
    <t>Battery Cost ($)</t>
  </si>
  <si>
    <t>Tank Cost ($)</t>
  </si>
  <si>
    <t>Total Cost ($)</t>
  </si>
  <si>
    <t>Submersible Pumps (WDM (Nidec) NHE Series high-head submersible)</t>
  </si>
  <si>
    <t>Battery (Tesla Megapack 3.9MWh unit)</t>
  </si>
  <si>
    <t>Booster Pumps (Grundfos CR 10-10 K)</t>
  </si>
  <si>
    <t>Pure Aqua Large Reverse Osmosis System RO-600 (Includes Pre and Post treatment)</t>
  </si>
  <si>
    <t>Brine Disposal Well</t>
  </si>
  <si>
    <t>N/A</t>
  </si>
  <si>
    <t>Piping (total)</t>
  </si>
  <si>
    <t>Total</t>
  </si>
  <si>
    <t>Mechanical Components</t>
  </si>
  <si>
    <t>Cost (USD)</t>
  </si>
  <si>
    <t>1 MW Aeromotor Turbine</t>
  </si>
  <si>
    <t>Wind turbine rotor lock</t>
  </si>
  <si>
    <t>Gearbox (Winergy  PEAB series)</t>
  </si>
  <si>
    <t>Variable-Displacement Hydraulic Power Unit (HPU)</t>
  </si>
  <si>
    <t>300 Bar Hydraulic Manifold (Custom Ductile Iron Block)</t>
  </si>
  <si>
    <t>Note: likely will not be COTS, need custom engineering solutions for this scale</t>
  </si>
  <si>
    <t>Hydraulic Motor (225 kW rating) (Haaglund CA 50)</t>
  </si>
  <si>
    <t>Hydraulic Motor (225 kW rating) (Haaglund CA 70)</t>
  </si>
  <si>
    <t>Vertical Turbine Pump (PSI Prolew Flowserve VTP)</t>
  </si>
  <si>
    <t>Plunger Pump (Triplex Plunger Pump K 13000 – 3G)</t>
  </si>
  <si>
    <t>High Pressure Pump (Danfoss APP 78/1500 180B7808 (1300 L/min)</t>
  </si>
  <si>
    <t>Gate valve</t>
  </si>
  <si>
    <t>Extra storage tank (100,000 gallons)</t>
  </si>
  <si>
    <t>Pipes (total)</t>
  </si>
  <si>
    <t>Hybrid Components</t>
  </si>
  <si>
    <t>Gearbox (Winergy  PEAB series) - Must be ordered with second output shaft</t>
  </si>
  <si>
    <t xml:space="preserve">HCI544E 3-Phase - Stamford | 600 kW </t>
  </si>
  <si>
    <t>Rectifier/Inverter Package</t>
  </si>
  <si>
    <t>Energy Required for each subsystem</t>
  </si>
  <si>
    <t>All the same, just configured differently due to different layouts</t>
  </si>
  <si>
    <t>Groundwater extraction</t>
  </si>
  <si>
    <t>185.8 kW</t>
  </si>
  <si>
    <t>Pressure boost</t>
  </si>
  <si>
    <t>61.8 kW</t>
  </si>
  <si>
    <t>RO desalination</t>
  </si>
  <si>
    <t>311.5 kW</t>
  </si>
  <si>
    <t>Brine reinjection</t>
  </si>
  <si>
    <t>81.9 kW</t>
  </si>
  <si>
    <t>641.0 kW</t>
  </si>
  <si>
    <t>TDS</t>
  </si>
  <si>
    <t>kW delta (RO Desalination) from design [TDS=950 ppm]</t>
  </si>
  <si>
    <t>Depth</t>
  </si>
  <si>
    <t>kW delta (pump energy) from design [depth=275 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</si>
</sst>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1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indexed="65"/>
        <bgColor auto="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3" fontId="1" fillId="0" borderId="0" xfId="0" applyNumberFormat="1" applyFont="1"/>
    <xf numFmtId="0" fontId="5" fillId="0" borderId="0" xfId="0" applyFont="1"/>
    <xf numFmtId="0" fontId="6" fillId="0" borderId="0" xfId="0" applyFont="1"/>
    <xf numFmtId="0" fontId="2" fillId="0" borderId="0" xfId="0" applyFont="1"/>
    <xf numFmtId="8" fontId="1" fillId="0" borderId="0" xfId="0" applyNumberFormat="1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8" fontId="9" fillId="0" borderId="0" xfId="0" applyNumberFormat="1" applyFont="1"/>
    <xf numFmtId="0" fontId="0" fillId="0" borderId="1" xfId="0" applyBorder="1"/>
    <xf numFmtId="8" fontId="0" fillId="0" borderId="0" xfId="0" applyNumberFormat="1"/>
    <xf numFmtId="8" fontId="5" fillId="0" borderId="0" xfId="0" applyNumberFormat="1" applyFont="1"/>
    <xf numFmtId="0" fontId="1" fillId="3" borderId="0" xfId="0" applyFont="1" applyFill="1"/>
    <xf numFmtId="0" fontId="0" fillId="4" borderId="1" xfId="0" applyFill="1" applyBorder="1"/>
    <xf numFmtId="8" fontId="1" fillId="3" borderId="0" xfId="0" applyNumberFormat="1" applyFont="1" applyFill="1"/>
    <xf numFmtId="8" fontId="0" fillId="5" borderId="0" xfId="0" applyNumberFormat="1" applyFill="1"/>
    <xf numFmtId="0" fontId="0" fillId="5" borderId="1" xfId="0" applyFill="1" applyBorder="1"/>
    <xf numFmtId="0" fontId="0" fillId="6" borderId="1" xfId="0" applyFill="1" applyBorder="1"/>
    <xf numFmtId="8" fontId="3" fillId="7" borderId="0" xfId="0" applyNumberFormat="1" applyFont="1" applyFill="1"/>
    <xf numFmtId="0" fontId="4" fillId="8" borderId="0" xfId="0" applyFont="1" applyFill="1"/>
    <xf numFmtId="0" fontId="1" fillId="8" borderId="0" xfId="0" applyFont="1" applyFill="1"/>
    <xf numFmtId="8" fontId="1" fillId="8" borderId="0" xfId="0" applyNumberFormat="1" applyFont="1" applyFill="1"/>
    <xf numFmtId="8" fontId="4" fillId="0" borderId="0" xfId="0" applyNumberFormat="1" applyFont="1"/>
    <xf numFmtId="0" fontId="10" fillId="0" borderId="0" xfId="0" applyFont="1"/>
    <xf numFmtId="8" fontId="4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topLeftCell="B1" workbookViewId="0">
      <selection activeCell="F9" sqref="F9"/>
    </sheetView>
  </sheetViews>
  <sheetFormatPr defaultRowHeight="15" customHeight="1" x14ac:dyDescent="0.35"/>
  <cols>
    <col min="2" max="2" width="59.26953125" customWidth="1"/>
    <col min="3" max="3" width="21.54296875" customWidth="1"/>
    <col min="4" max="4" width="25.1796875" customWidth="1"/>
    <col min="5" max="5" width="16.1796875" customWidth="1"/>
    <col min="6" max="6" width="14.81640625" customWidth="1"/>
    <col min="7" max="7" width="21.7265625" customWidth="1"/>
    <col min="12" max="12" width="13.81640625" customWidth="1"/>
    <col min="13" max="13" width="14.54296875" customWidth="1"/>
    <col min="14" max="14" width="14.81640625" customWidth="1"/>
    <col min="15" max="15" width="13.453125" customWidth="1"/>
    <col min="16" max="16" width="16.1796875" customWidth="1"/>
    <col min="17" max="17" width="13.1796875" customWidth="1"/>
    <col min="18" max="18" width="10.54296875" customWidth="1"/>
  </cols>
  <sheetData>
    <row r="1" spans="1:18" ht="20.25" customHeigh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18" ht="14.5" customHeight="1" x14ac:dyDescent="0.35">
      <c r="A2" s="1"/>
      <c r="B2" s="16" t="s">
        <v>5</v>
      </c>
      <c r="C2" s="17">
        <v>1</v>
      </c>
      <c r="D2" s="18">
        <v>2600000</v>
      </c>
      <c r="E2" s="19">
        <v>2600000</v>
      </c>
      <c r="F2">
        <v>20</v>
      </c>
    </row>
    <row r="3" spans="1:18" ht="15.75" customHeight="1" x14ac:dyDescent="0.35">
      <c r="A3" s="1"/>
      <c r="B3" s="16" t="s">
        <v>6</v>
      </c>
      <c r="C3" s="20">
        <v>2</v>
      </c>
      <c r="D3" s="18">
        <v>2600</v>
      </c>
      <c r="E3" s="19">
        <v>5200</v>
      </c>
      <c r="F3">
        <v>15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</row>
    <row r="4" spans="1:18" ht="14.5" customHeight="1" x14ac:dyDescent="0.35">
      <c r="A4" s="1"/>
      <c r="B4" s="1" t="s">
        <v>14</v>
      </c>
      <c r="C4" s="21">
        <v>2</v>
      </c>
      <c r="D4" s="22">
        <v>200000</v>
      </c>
      <c r="E4" s="14">
        <v>400000</v>
      </c>
      <c r="F4">
        <v>10</v>
      </c>
      <c r="L4" s="1">
        <v>0</v>
      </c>
      <c r="M4" s="1">
        <v>1</v>
      </c>
      <c r="N4" s="1">
        <v>0</v>
      </c>
      <c r="O4" s="4">
        <v>1000000</v>
      </c>
      <c r="P4" s="1">
        <v>0</v>
      </c>
      <c r="Q4" s="4">
        <v>150000</v>
      </c>
      <c r="R4" s="4">
        <v>150000</v>
      </c>
    </row>
    <row r="5" spans="1:18" ht="14.5" customHeight="1" x14ac:dyDescent="0.35">
      <c r="A5" s="1"/>
      <c r="B5" s="1" t="s">
        <v>15</v>
      </c>
      <c r="C5" s="13">
        <v>1</v>
      </c>
      <c r="D5" s="22">
        <v>2600000</v>
      </c>
      <c r="E5" s="14">
        <v>2600000</v>
      </c>
      <c r="F5">
        <v>15</v>
      </c>
      <c r="L5" s="1">
        <v>0.1</v>
      </c>
      <c r="M5" s="1">
        <v>0.9</v>
      </c>
      <c r="N5" s="4">
        <v>1000</v>
      </c>
      <c r="O5" s="4">
        <v>900000</v>
      </c>
      <c r="P5" s="4">
        <v>125000</v>
      </c>
      <c r="Q5" s="4">
        <v>135000</v>
      </c>
      <c r="R5" s="4">
        <v>260000</v>
      </c>
    </row>
    <row r="6" spans="1:18" ht="14.5" customHeight="1" x14ac:dyDescent="0.35">
      <c r="A6" s="1"/>
      <c r="B6" s="1" t="s">
        <v>16</v>
      </c>
      <c r="C6" s="21">
        <v>4</v>
      </c>
      <c r="D6" s="22">
        <v>6000</v>
      </c>
      <c r="E6" s="14">
        <v>24000</v>
      </c>
      <c r="F6">
        <v>15</v>
      </c>
      <c r="L6" s="1">
        <v>0.2</v>
      </c>
      <c r="M6" s="1">
        <v>0.8</v>
      </c>
      <c r="N6" s="4">
        <v>2000</v>
      </c>
      <c r="O6" s="4">
        <v>800000</v>
      </c>
      <c r="P6" s="4">
        <v>250000</v>
      </c>
      <c r="Q6" s="4">
        <v>120000</v>
      </c>
      <c r="R6" s="4">
        <v>370000</v>
      </c>
    </row>
    <row r="7" spans="1:18" ht="14.5" customHeight="1" x14ac:dyDescent="0.35">
      <c r="A7" s="1"/>
      <c r="B7" s="1" t="s">
        <v>17</v>
      </c>
      <c r="C7" s="1">
        <v>1</v>
      </c>
      <c r="D7" s="8">
        <v>3500000</v>
      </c>
      <c r="E7" s="14">
        <v>3500000</v>
      </c>
      <c r="F7">
        <v>20</v>
      </c>
      <c r="L7" s="1">
        <v>0.3</v>
      </c>
      <c r="M7" s="1">
        <v>0.7</v>
      </c>
      <c r="N7" s="4">
        <v>3000</v>
      </c>
      <c r="O7" s="4">
        <v>700000</v>
      </c>
      <c r="P7" s="4">
        <v>375000</v>
      </c>
      <c r="Q7" s="4">
        <v>105000</v>
      </c>
      <c r="R7" s="4">
        <v>480000</v>
      </c>
    </row>
    <row r="8" spans="1:18" ht="14.5" customHeight="1" x14ac:dyDescent="0.35">
      <c r="A8" s="1"/>
      <c r="B8" s="1" t="s">
        <v>36</v>
      </c>
      <c r="C8" s="1">
        <v>2</v>
      </c>
      <c r="D8" s="8">
        <v>70000</v>
      </c>
      <c r="E8" s="10">
        <v>140000</v>
      </c>
      <c r="F8">
        <v>30</v>
      </c>
      <c r="L8" s="1">
        <v>0.4</v>
      </c>
      <c r="M8" s="1">
        <v>0.6</v>
      </c>
      <c r="N8" s="4">
        <v>4000</v>
      </c>
      <c r="O8" s="4">
        <v>600000</v>
      </c>
      <c r="P8" s="4">
        <v>500000</v>
      </c>
      <c r="Q8" s="4">
        <v>90000</v>
      </c>
      <c r="R8" s="4">
        <v>590000</v>
      </c>
    </row>
    <row r="9" spans="1:18" ht="14.5" customHeight="1" x14ac:dyDescent="0.35">
      <c r="A9" s="1"/>
      <c r="B9" s="1" t="s">
        <v>18</v>
      </c>
      <c r="C9" s="1">
        <v>1</v>
      </c>
      <c r="D9" s="8">
        <v>2300000</v>
      </c>
      <c r="E9" s="14">
        <v>2300000</v>
      </c>
      <c r="F9" t="s">
        <v>19</v>
      </c>
      <c r="L9" s="1">
        <v>0.5</v>
      </c>
      <c r="M9" s="1">
        <v>0.5</v>
      </c>
      <c r="N9" s="4">
        <v>5000</v>
      </c>
      <c r="O9" s="4">
        <v>500000</v>
      </c>
      <c r="P9" s="4">
        <v>625000</v>
      </c>
      <c r="Q9" s="4">
        <v>75000</v>
      </c>
      <c r="R9" s="4">
        <v>700000</v>
      </c>
    </row>
    <row r="10" spans="1:18" ht="14.5" customHeight="1" x14ac:dyDescent="0.35">
      <c r="A10" s="1"/>
      <c r="B10" s="1" t="s">
        <v>20</v>
      </c>
      <c r="C10" s="13">
        <v>1</v>
      </c>
      <c r="D10" s="22">
        <v>2000000</v>
      </c>
      <c r="E10" s="14">
        <v>2000000</v>
      </c>
      <c r="L10" s="1">
        <v>0.6</v>
      </c>
      <c r="M10" s="1">
        <v>0.4</v>
      </c>
      <c r="N10" s="4">
        <v>6000</v>
      </c>
      <c r="O10" s="4">
        <v>400000</v>
      </c>
      <c r="P10" s="4">
        <v>750000</v>
      </c>
      <c r="Q10" s="4">
        <v>60000</v>
      </c>
      <c r="R10" s="4">
        <v>810000</v>
      </c>
    </row>
    <row r="11" spans="1:18" ht="14.5" customHeight="1" x14ac:dyDescent="0.35">
      <c r="A11" s="1"/>
      <c r="B11" s="23" t="s">
        <v>21</v>
      </c>
      <c r="C11" s="24"/>
      <c r="D11" s="28"/>
      <c r="E11" s="15">
        <f>SUM(E2:E10)</f>
        <v>13569200</v>
      </c>
      <c r="L11" s="1">
        <v>0.7</v>
      </c>
      <c r="M11" s="1">
        <v>0.3</v>
      </c>
      <c r="N11" s="4">
        <v>7000</v>
      </c>
      <c r="O11" s="4">
        <v>300000</v>
      </c>
      <c r="P11" s="4">
        <v>875000</v>
      </c>
      <c r="Q11" s="4">
        <v>45000</v>
      </c>
      <c r="R11" s="4">
        <v>920000</v>
      </c>
    </row>
    <row r="12" spans="1:18" ht="14.5" customHeight="1" x14ac:dyDescent="0.35">
      <c r="A12" s="3"/>
      <c r="B12" s="3"/>
      <c r="C12" s="1"/>
      <c r="D12" s="8"/>
      <c r="E12" s="15"/>
      <c r="L12" s="1">
        <v>0.8</v>
      </c>
      <c r="M12" s="1">
        <v>0.2</v>
      </c>
      <c r="N12" s="4">
        <v>8000</v>
      </c>
      <c r="O12" s="4">
        <v>200000</v>
      </c>
      <c r="P12" s="4">
        <v>1000000</v>
      </c>
      <c r="Q12" s="4">
        <v>30000</v>
      </c>
      <c r="R12" s="4">
        <v>1030000</v>
      </c>
    </row>
    <row r="13" spans="1:18" ht="14.5" customHeight="1" x14ac:dyDescent="0.35">
      <c r="A13" s="1"/>
      <c r="B13" s="1"/>
      <c r="C13" s="1"/>
      <c r="D13" s="1"/>
      <c r="E13" s="1"/>
      <c r="F13" s="1"/>
      <c r="G13" s="1"/>
      <c r="L13" s="1">
        <v>0.9</v>
      </c>
      <c r="M13" s="1">
        <v>0.1</v>
      </c>
      <c r="N13" s="4">
        <v>9000</v>
      </c>
      <c r="O13" s="4">
        <v>100000</v>
      </c>
      <c r="P13" s="4">
        <v>1125000</v>
      </c>
      <c r="Q13" s="4">
        <v>15000</v>
      </c>
      <c r="R13" s="4">
        <v>1140000</v>
      </c>
    </row>
    <row r="14" spans="1:18" ht="14.5" customHeight="1" x14ac:dyDescent="0.35">
      <c r="A14" s="1"/>
      <c r="B14" s="1"/>
      <c r="C14" s="1"/>
      <c r="D14" s="1"/>
      <c r="E14" s="1"/>
      <c r="F14" s="1"/>
      <c r="G14" s="1"/>
      <c r="L14" s="1">
        <v>1</v>
      </c>
      <c r="M14" s="1">
        <v>0</v>
      </c>
      <c r="N14" s="4">
        <v>10000</v>
      </c>
      <c r="O14" s="1">
        <v>0</v>
      </c>
      <c r="P14" s="4">
        <v>1250000</v>
      </c>
      <c r="Q14" s="1">
        <v>0</v>
      </c>
      <c r="R14" s="4">
        <v>1250000</v>
      </c>
    </row>
    <row r="15" spans="1:18" ht="14.5" customHeight="1" x14ac:dyDescent="0.35">
      <c r="A15" s="1"/>
      <c r="B15" s="2" t="s">
        <v>22</v>
      </c>
      <c r="C15" s="2" t="s">
        <v>1</v>
      </c>
      <c r="D15" s="2" t="s">
        <v>23</v>
      </c>
      <c r="E15" s="9" t="s">
        <v>4</v>
      </c>
      <c r="F15" s="10"/>
      <c r="G15" s="7"/>
    </row>
    <row r="16" spans="1:18" ht="14.5" customHeight="1" x14ac:dyDescent="0.35">
      <c r="A16" s="1"/>
      <c r="B16" s="24" t="s">
        <v>24</v>
      </c>
      <c r="C16" s="24">
        <v>1</v>
      </c>
      <c r="D16" s="25">
        <v>1000000</v>
      </c>
      <c r="E16" s="10">
        <v>25</v>
      </c>
      <c r="F16" s="10"/>
      <c r="G16" s="1"/>
    </row>
    <row r="17" spans="1:7" ht="14.5" customHeight="1" x14ac:dyDescent="0.35">
      <c r="A17" s="1"/>
      <c r="B17" s="24" t="s">
        <v>25</v>
      </c>
      <c r="C17" s="24">
        <v>3</v>
      </c>
      <c r="D17" s="25">
        <v>15000</v>
      </c>
      <c r="E17" s="10">
        <v>20</v>
      </c>
      <c r="F17" s="10"/>
      <c r="G17" s="1"/>
    </row>
    <row r="18" spans="1:7" ht="14.5" customHeight="1" x14ac:dyDescent="0.35">
      <c r="A18" s="1"/>
      <c r="B18" s="1" t="s">
        <v>26</v>
      </c>
      <c r="C18" s="1">
        <v>1</v>
      </c>
      <c r="D18" s="22">
        <v>200000</v>
      </c>
      <c r="E18" s="10">
        <v>20</v>
      </c>
      <c r="F18" s="10"/>
      <c r="G18" s="1"/>
    </row>
    <row r="19" spans="1:7" ht="14.5" customHeight="1" x14ac:dyDescent="0.35">
      <c r="A19" s="1"/>
      <c r="B19" s="1" t="s">
        <v>27</v>
      </c>
      <c r="C19" s="1">
        <v>1</v>
      </c>
      <c r="D19" s="22">
        <v>300000</v>
      </c>
      <c r="E19" s="10">
        <v>15</v>
      </c>
      <c r="F19" s="10" t="s">
        <v>29</v>
      </c>
      <c r="G19" s="1"/>
    </row>
    <row r="20" spans="1:7" ht="14.5" customHeight="1" x14ac:dyDescent="0.35">
      <c r="A20" s="1"/>
      <c r="B20" s="1" t="s">
        <v>28</v>
      </c>
      <c r="C20" s="1">
        <v>1</v>
      </c>
      <c r="D20" s="22">
        <v>20000</v>
      </c>
      <c r="E20" s="10">
        <v>20</v>
      </c>
      <c r="F20" s="10" t="s">
        <v>29</v>
      </c>
      <c r="G20" s="1"/>
    </row>
    <row r="21" spans="1:7" ht="14.5" customHeight="1" x14ac:dyDescent="0.35">
      <c r="A21" s="1"/>
      <c r="B21" s="1" t="s">
        <v>30</v>
      </c>
      <c r="C21" s="1">
        <v>2</v>
      </c>
      <c r="D21" s="22">
        <v>60000</v>
      </c>
      <c r="E21" s="10">
        <v>15</v>
      </c>
      <c r="F21" s="10"/>
      <c r="G21" s="1"/>
    </row>
    <row r="22" spans="1:7" ht="14.5" customHeight="1" x14ac:dyDescent="0.35">
      <c r="A22" s="1"/>
      <c r="B22" s="1" t="s">
        <v>31</v>
      </c>
      <c r="C22" s="1">
        <v>1</v>
      </c>
      <c r="D22" s="22">
        <v>50000</v>
      </c>
      <c r="E22" s="10">
        <v>15</v>
      </c>
      <c r="F22" s="10"/>
      <c r="G22" s="1"/>
    </row>
    <row r="23" spans="1:7" ht="14.5" customHeight="1" x14ac:dyDescent="0.35">
      <c r="A23" s="1"/>
      <c r="B23" s="1" t="s">
        <v>32</v>
      </c>
      <c r="C23" s="1">
        <v>1</v>
      </c>
      <c r="D23" s="22">
        <v>60000</v>
      </c>
      <c r="E23" s="10">
        <v>15</v>
      </c>
      <c r="F23" s="10"/>
      <c r="G23" s="1"/>
    </row>
    <row r="24" spans="1:7" ht="14.5" customHeight="1" x14ac:dyDescent="0.35">
      <c r="A24" s="1"/>
      <c r="B24" s="1" t="s">
        <v>33</v>
      </c>
      <c r="C24" s="1">
        <v>1</v>
      </c>
      <c r="D24" s="22">
        <v>35000</v>
      </c>
      <c r="E24" s="10">
        <v>20</v>
      </c>
      <c r="F24" s="10"/>
      <c r="G24" s="1"/>
    </row>
    <row r="25" spans="1:7" ht="14.5" customHeight="1" x14ac:dyDescent="0.35">
      <c r="A25" s="1"/>
      <c r="B25" s="1" t="s">
        <v>34</v>
      </c>
      <c r="C25" s="1">
        <v>3</v>
      </c>
      <c r="D25" s="22">
        <v>100000</v>
      </c>
      <c r="E25" s="10">
        <v>15</v>
      </c>
      <c r="F25" s="10"/>
      <c r="G25" s="1"/>
    </row>
    <row r="26" spans="1:7" ht="14.5" customHeight="1" x14ac:dyDescent="0.35">
      <c r="A26" s="1"/>
      <c r="B26" s="24" t="s">
        <v>35</v>
      </c>
      <c r="C26" s="24">
        <v>2</v>
      </c>
      <c r="D26" s="25">
        <v>8000</v>
      </c>
      <c r="E26" s="10">
        <v>15</v>
      </c>
      <c r="F26" s="10"/>
      <c r="G26" s="1"/>
    </row>
    <row r="27" spans="1:7" ht="14.5" customHeight="1" x14ac:dyDescent="0.35">
      <c r="A27" s="1"/>
      <c r="B27" s="1" t="s">
        <v>17</v>
      </c>
      <c r="C27" s="1">
        <v>1</v>
      </c>
      <c r="D27" s="8">
        <v>3500000</v>
      </c>
      <c r="E27" s="10">
        <v>20</v>
      </c>
      <c r="F27" s="10"/>
      <c r="G27" s="1"/>
    </row>
    <row r="28" spans="1:7" ht="14.5" customHeight="1" x14ac:dyDescent="0.35">
      <c r="A28" s="1" t="s">
        <v>18</v>
      </c>
      <c r="B28" s="1" t="s">
        <v>36</v>
      </c>
      <c r="C28" s="1">
        <v>2</v>
      </c>
      <c r="D28" s="8">
        <v>140000</v>
      </c>
      <c r="E28" s="10">
        <v>30</v>
      </c>
      <c r="F28" s="10"/>
      <c r="G28" s="1"/>
    </row>
    <row r="29" spans="1:7" ht="14.5" customHeight="1" x14ac:dyDescent="0.35">
      <c r="A29" s="1"/>
      <c r="B29" s="1" t="s">
        <v>18</v>
      </c>
      <c r="C29" s="1">
        <v>1</v>
      </c>
      <c r="D29" s="14">
        <v>2300000</v>
      </c>
      <c r="E29" t="s">
        <v>19</v>
      </c>
      <c r="F29" s="10"/>
      <c r="G29" s="1"/>
    </row>
    <row r="30" spans="1:7" ht="14.5" customHeight="1" x14ac:dyDescent="0.35">
      <c r="A30" s="1"/>
      <c r="B30" s="24" t="s">
        <v>37</v>
      </c>
      <c r="C30" s="24"/>
      <c r="D30" s="25">
        <v>2000000</v>
      </c>
      <c r="E30" s="10">
        <v>30</v>
      </c>
      <c r="F30" s="10"/>
      <c r="G30" s="3"/>
    </row>
    <row r="31" spans="1:7" ht="14.5" customHeight="1" x14ac:dyDescent="0.35">
      <c r="A31" s="3"/>
      <c r="B31" s="3" t="s">
        <v>21</v>
      </c>
      <c r="C31" s="3"/>
      <c r="D31" s="26">
        <v>9788000</v>
      </c>
      <c r="E31" s="10"/>
      <c r="F31" s="10"/>
      <c r="G31" s="1"/>
    </row>
    <row r="32" spans="1:7" ht="14.5" customHeight="1" x14ac:dyDescent="0.35">
      <c r="A32" s="1"/>
      <c r="B32" s="11"/>
      <c r="C32" s="11"/>
      <c r="D32" s="12"/>
      <c r="E32" s="10"/>
      <c r="F32" s="10"/>
      <c r="G32" s="1"/>
    </row>
    <row r="33" spans="1:6" ht="14.5" customHeight="1" x14ac:dyDescent="0.35">
      <c r="A33" s="1"/>
      <c r="B33" s="11"/>
      <c r="C33" s="11"/>
      <c r="D33" s="12"/>
      <c r="E33" s="10"/>
    </row>
    <row r="34" spans="1:6" ht="14.5" customHeight="1" x14ac:dyDescent="0.35">
      <c r="B34" s="9" t="s">
        <v>38</v>
      </c>
      <c r="C34" s="9" t="s">
        <v>1</v>
      </c>
      <c r="D34" s="9" t="s">
        <v>23</v>
      </c>
      <c r="E34" s="9" t="s">
        <v>4</v>
      </c>
    </row>
    <row r="35" spans="1:6" ht="14.5" customHeight="1" x14ac:dyDescent="0.35">
      <c r="B35" s="24" t="s">
        <v>24</v>
      </c>
      <c r="C35" s="24">
        <v>1</v>
      </c>
      <c r="D35" s="25">
        <v>1000000</v>
      </c>
      <c r="E35">
        <v>25</v>
      </c>
      <c r="F35" s="10" t="s">
        <v>29</v>
      </c>
    </row>
    <row r="36" spans="1:6" ht="14.5" customHeight="1" x14ac:dyDescent="0.35">
      <c r="B36" s="24" t="s">
        <v>25</v>
      </c>
      <c r="C36" s="24">
        <v>3</v>
      </c>
      <c r="D36" s="25">
        <v>15000</v>
      </c>
      <c r="E36">
        <v>20</v>
      </c>
    </row>
    <row r="37" spans="1:6" ht="14.5" customHeight="1" x14ac:dyDescent="0.35">
      <c r="B37" s="1" t="s">
        <v>39</v>
      </c>
      <c r="C37" s="1">
        <v>1</v>
      </c>
      <c r="D37" s="22">
        <v>200000</v>
      </c>
      <c r="E37">
        <v>20</v>
      </c>
    </row>
    <row r="38" spans="1:6" ht="14.5" customHeight="1" x14ac:dyDescent="0.35">
      <c r="B38" s="1" t="s">
        <v>27</v>
      </c>
      <c r="C38" s="1">
        <v>1</v>
      </c>
      <c r="D38" s="22">
        <v>300000</v>
      </c>
      <c r="E38">
        <v>15</v>
      </c>
    </row>
    <row r="39" spans="1:6" ht="14.5" customHeight="1" x14ac:dyDescent="0.35">
      <c r="B39" s="1" t="s">
        <v>31</v>
      </c>
      <c r="C39" s="1">
        <v>1</v>
      </c>
      <c r="D39" s="22">
        <v>50000</v>
      </c>
      <c r="E39">
        <v>15</v>
      </c>
    </row>
    <row r="40" spans="1:6" ht="14.5" customHeight="1" x14ac:dyDescent="0.35">
      <c r="B40" s="1" t="s">
        <v>32</v>
      </c>
      <c r="C40" s="1">
        <v>1</v>
      </c>
      <c r="D40" s="22">
        <v>60000</v>
      </c>
      <c r="E40">
        <v>15</v>
      </c>
    </row>
    <row r="41" spans="1:6" ht="14.5" customHeight="1" x14ac:dyDescent="0.35">
      <c r="B41" s="1" t="s">
        <v>36</v>
      </c>
      <c r="C41" s="1">
        <v>2</v>
      </c>
      <c r="D41" s="8">
        <v>140000</v>
      </c>
      <c r="E41">
        <v>30</v>
      </c>
    </row>
    <row r="42" spans="1:6" ht="14.5" customHeight="1" x14ac:dyDescent="0.35">
      <c r="B42" s="24" t="s">
        <v>37</v>
      </c>
      <c r="C42" s="24"/>
      <c r="D42" s="25">
        <v>2000000</v>
      </c>
      <c r="E42">
        <v>30</v>
      </c>
    </row>
    <row r="43" spans="1:6" ht="14.5" customHeight="1" x14ac:dyDescent="0.35">
      <c r="B43" s="16" t="s">
        <v>6</v>
      </c>
      <c r="C43" s="20">
        <v>2</v>
      </c>
      <c r="D43" s="18">
        <v>5200</v>
      </c>
      <c r="E43">
        <v>15</v>
      </c>
    </row>
    <row r="44" spans="1:6" ht="14.5" customHeight="1" x14ac:dyDescent="0.35">
      <c r="B44" s="1" t="s">
        <v>15</v>
      </c>
      <c r="C44" s="13">
        <v>1</v>
      </c>
      <c r="D44" s="22">
        <v>2600000</v>
      </c>
      <c r="E44">
        <v>15</v>
      </c>
    </row>
    <row r="45" spans="1:6" ht="14.5" customHeight="1" x14ac:dyDescent="0.35">
      <c r="B45" s="1" t="s">
        <v>17</v>
      </c>
      <c r="C45" s="1">
        <v>1</v>
      </c>
      <c r="D45" s="8">
        <v>3500000</v>
      </c>
      <c r="E45">
        <v>20</v>
      </c>
    </row>
    <row r="46" spans="1:6" ht="15" customHeight="1" x14ac:dyDescent="0.35">
      <c r="B46" s="1" t="s">
        <v>34</v>
      </c>
      <c r="C46" s="1">
        <v>3</v>
      </c>
      <c r="D46" s="22">
        <v>100000</v>
      </c>
      <c r="E46">
        <v>15</v>
      </c>
    </row>
    <row r="47" spans="1:6" ht="15" customHeight="1" x14ac:dyDescent="0.35">
      <c r="B47" s="1" t="s">
        <v>40</v>
      </c>
      <c r="C47" s="1">
        <v>1</v>
      </c>
      <c r="D47" s="22">
        <v>200000</v>
      </c>
      <c r="E47">
        <v>20</v>
      </c>
    </row>
    <row r="48" spans="1:6" ht="15" customHeight="1" x14ac:dyDescent="0.35">
      <c r="B48" s="1" t="s">
        <v>18</v>
      </c>
      <c r="C48" s="1">
        <v>1</v>
      </c>
      <c r="D48" s="14">
        <v>2300000</v>
      </c>
      <c r="E48" t="s">
        <v>19</v>
      </c>
    </row>
    <row r="49" spans="2:5" ht="15" customHeight="1" x14ac:dyDescent="0.35">
      <c r="B49" s="1" t="s">
        <v>41</v>
      </c>
      <c r="C49" s="1">
        <v>1</v>
      </c>
      <c r="D49" s="22">
        <v>60000</v>
      </c>
      <c r="E49">
        <v>15</v>
      </c>
    </row>
    <row r="50" spans="2:5" ht="15" customHeight="1" x14ac:dyDescent="0.35">
      <c r="B50" s="6" t="s">
        <v>21</v>
      </c>
      <c r="D50" s="15">
        <v>12530200</v>
      </c>
    </row>
    <row r="54" spans="2:5" ht="15" customHeight="1" x14ac:dyDescent="0.35">
      <c r="B54" s="6" t="s">
        <v>42</v>
      </c>
      <c r="C54" s="27" t="s">
        <v>43</v>
      </c>
      <c r="D54" s="27"/>
      <c r="E54" s="27"/>
    </row>
    <row r="55" spans="2:5" ht="15" customHeight="1" x14ac:dyDescent="0.35">
      <c r="B55" s="27" t="s">
        <v>44</v>
      </c>
      <c r="C55" t="s">
        <v>45</v>
      </c>
    </row>
    <row r="56" spans="2:5" ht="15" customHeight="1" x14ac:dyDescent="0.35">
      <c r="B56" s="27" t="s">
        <v>46</v>
      </c>
      <c r="C56" t="s">
        <v>47</v>
      </c>
    </row>
    <row r="57" spans="2:5" ht="14.5" customHeight="1" x14ac:dyDescent="0.35">
      <c r="B57" s="27" t="s">
        <v>48</v>
      </c>
      <c r="C57" t="s">
        <v>49</v>
      </c>
    </row>
    <row r="58" spans="2:5" ht="15" customHeight="1" x14ac:dyDescent="0.35">
      <c r="B58" s="5" t="s">
        <v>50</v>
      </c>
      <c r="C58" t="s">
        <v>51</v>
      </c>
    </row>
    <row r="59" spans="2:5" ht="15" customHeight="1" x14ac:dyDescent="0.35">
      <c r="B59" t="s">
        <v>21</v>
      </c>
      <c r="C59" t="s">
        <v>52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B1" sqref="B1"/>
    </sheetView>
  </sheetViews>
  <sheetFormatPr defaultRowHeight="14.5" x14ac:dyDescent="0.35"/>
  <cols>
    <col min="3" max="3" width="6.81640625" customWidth="1"/>
  </cols>
  <sheetData>
    <row r="1" spans="1:5" x14ac:dyDescent="0.35">
      <c r="A1" s="5" t="s">
        <v>53</v>
      </c>
      <c r="B1" s="6" t="s">
        <v>54</v>
      </c>
      <c r="D1" s="5" t="s">
        <v>55</v>
      </c>
      <c r="E1" s="6" t="s">
        <v>56</v>
      </c>
    </row>
    <row r="2" spans="1:5" x14ac:dyDescent="0.35">
      <c r="A2">
        <v>0</v>
      </c>
      <c r="B2">
        <v>-13.875</v>
      </c>
      <c r="D2">
        <v>0</v>
      </c>
      <c r="E2">
        <v>-185.8</v>
      </c>
    </row>
    <row r="3" spans="1:5" x14ac:dyDescent="0.35">
      <c r="A3">
        <v>100</v>
      </c>
      <c r="B3">
        <v>-12.414999999999999</v>
      </c>
      <c r="D3">
        <v>100</v>
      </c>
      <c r="E3">
        <v>-118.236</v>
      </c>
    </row>
    <row r="4" spans="1:5" x14ac:dyDescent="0.35">
      <c r="A4">
        <v>200</v>
      </c>
      <c r="B4">
        <v>-10.954000000000001</v>
      </c>
      <c r="D4">
        <v>200</v>
      </c>
      <c r="E4">
        <v>-50.673000000000002</v>
      </c>
    </row>
    <row r="5" spans="1:5" x14ac:dyDescent="0.35">
      <c r="A5">
        <v>300</v>
      </c>
      <c r="B5">
        <v>-9.4930000000000003</v>
      </c>
      <c r="D5">
        <v>300</v>
      </c>
      <c r="E5">
        <v>16.890999999999998</v>
      </c>
    </row>
    <row r="6" spans="1:5" x14ac:dyDescent="0.35">
      <c r="A6">
        <v>400</v>
      </c>
      <c r="B6">
        <v>-8.0329999999999995</v>
      </c>
      <c r="D6">
        <v>400</v>
      </c>
      <c r="E6">
        <v>84.454999999999998</v>
      </c>
    </row>
    <row r="7" spans="1:5" x14ac:dyDescent="0.35">
      <c r="A7">
        <v>500</v>
      </c>
      <c r="B7">
        <v>-6.5720000000000001</v>
      </c>
      <c r="D7">
        <v>500</v>
      </c>
      <c r="E7">
        <v>152.018</v>
      </c>
    </row>
    <row r="8" spans="1:5" x14ac:dyDescent="0.35">
      <c r="A8">
        <v>600</v>
      </c>
      <c r="B8">
        <v>-5.1120000000000001</v>
      </c>
      <c r="D8">
        <v>600</v>
      </c>
      <c r="E8">
        <v>219.58199999999999</v>
      </c>
    </row>
    <row r="9" spans="1:5" x14ac:dyDescent="0.35">
      <c r="A9">
        <v>700</v>
      </c>
      <c r="B9">
        <v>-3.6509999999999998</v>
      </c>
      <c r="D9">
        <v>700</v>
      </c>
      <c r="E9">
        <v>287.14499999999998</v>
      </c>
    </row>
    <row r="10" spans="1:5" x14ac:dyDescent="0.35">
      <c r="A10">
        <v>800</v>
      </c>
      <c r="B10">
        <v>-2.1909999999999998</v>
      </c>
      <c r="D10">
        <v>800</v>
      </c>
      <c r="E10">
        <v>354.709</v>
      </c>
    </row>
    <row r="11" spans="1:5" x14ac:dyDescent="0.35">
      <c r="A11">
        <v>900</v>
      </c>
      <c r="B11">
        <v>-0.73</v>
      </c>
      <c r="D11">
        <v>900</v>
      </c>
      <c r="E11">
        <v>422.27300000000002</v>
      </c>
    </row>
    <row r="12" spans="1:5" x14ac:dyDescent="0.35">
      <c r="A12">
        <v>1000</v>
      </c>
      <c r="B12">
        <v>0.73</v>
      </c>
      <c r="D12">
        <v>1000</v>
      </c>
      <c r="E12">
        <v>489.83600000000001</v>
      </c>
    </row>
    <row r="13" spans="1:5" x14ac:dyDescent="0.35">
      <c r="A13">
        <v>1100</v>
      </c>
      <c r="B13">
        <v>2.1909999999999998</v>
      </c>
      <c r="D13">
        <v>1100</v>
      </c>
      <c r="E13">
        <v>557.4</v>
      </c>
    </row>
    <row r="14" spans="1:5" x14ac:dyDescent="0.35">
      <c r="A14">
        <v>1200</v>
      </c>
      <c r="B14">
        <v>3.6509999999999998</v>
      </c>
      <c r="D14">
        <v>1200</v>
      </c>
      <c r="E14">
        <v>624.96400000000006</v>
      </c>
    </row>
    <row r="15" spans="1:5" x14ac:dyDescent="0.35">
      <c r="A15">
        <v>1300</v>
      </c>
      <c r="B15">
        <v>5.1120000000000001</v>
      </c>
      <c r="D15">
        <v>1300</v>
      </c>
      <c r="E15">
        <v>692.52700000000004</v>
      </c>
    </row>
    <row r="16" spans="1:5" x14ac:dyDescent="0.35">
      <c r="A16">
        <v>1400</v>
      </c>
      <c r="B16">
        <v>6.5720000000000001</v>
      </c>
      <c r="D16">
        <v>1400</v>
      </c>
      <c r="E16">
        <v>760.09100000000001</v>
      </c>
    </row>
    <row r="17" spans="1:5" x14ac:dyDescent="0.35">
      <c r="A17">
        <v>1500</v>
      </c>
      <c r="B17">
        <v>8.0329999999999995</v>
      </c>
      <c r="D17">
        <v>1500</v>
      </c>
      <c r="E17">
        <v>827.65499999999997</v>
      </c>
    </row>
    <row r="18" spans="1:5" x14ac:dyDescent="0.35">
      <c r="A18">
        <v>1600</v>
      </c>
      <c r="B18">
        <v>9.4930000000000003</v>
      </c>
      <c r="D18">
        <v>1600</v>
      </c>
      <c r="E18">
        <v>895.21799999999996</v>
      </c>
    </row>
    <row r="19" spans="1:5" x14ac:dyDescent="0.35">
      <c r="A19">
        <v>1700</v>
      </c>
      <c r="B19">
        <v>10.954000000000001</v>
      </c>
      <c r="D19">
        <v>1700</v>
      </c>
      <c r="E19">
        <v>962.78200000000004</v>
      </c>
    </row>
    <row r="20" spans="1:5" x14ac:dyDescent="0.35">
      <c r="A20">
        <v>1800</v>
      </c>
      <c r="B20">
        <v>12.414999999999999</v>
      </c>
      <c r="D20">
        <v>1800</v>
      </c>
      <c r="E20">
        <v>1030.345</v>
      </c>
    </row>
    <row r="21" spans="1:5" x14ac:dyDescent="0.35">
      <c r="A21">
        <v>1900</v>
      </c>
      <c r="B21">
        <v>13.875</v>
      </c>
      <c r="D21">
        <v>1900</v>
      </c>
      <c r="E21">
        <v>1097.9090000000001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Ren, Kevin Y</dc:creator>
  <cp:lastModifiedBy>Ren, Kevin Y</cp:lastModifiedBy>
  <dcterms:created xsi:type="dcterms:W3CDTF">2026-02-21T02:25:14Z</dcterms:created>
  <dcterms:modified xsi:type="dcterms:W3CDTF">2026-04-21T00:15:06Z</dcterms:modified>
</cp:coreProperties>
</file>