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C:\Users\kevin\Downloads\Desalination Project Vibe Code\"/>
    </mc:Choice>
  </mc:AlternateContent>
  <xr:revisionPtr revIDLastSave="0" documentId="8_{02C01666-7467-4833-B789-B11D72E586F8}" xr6:coauthVersionLast="47" xr6:coauthVersionMax="47" xr10:uidLastSave="{00000000-0000-0000-0000-000000000000}"/>
  <bookViews>
    <workbookView xWindow="-110" yWindow="-110" windowWidth="25820" windowHeight="15500" xr2:uid="{4D6F2CCD-3882-4748-8508-2817CBEB5436}"/>
  </bookViews>
  <sheets>
    <sheet name="Part 1" sheetId="1" r:id="rId1"/>
    <sheet name="Part 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1" l="1"/>
  <c r="D29" i="1"/>
  <c r="E9" i="1"/>
  <c r="E8" i="1"/>
  <c r="E7" i="1"/>
  <c r="E6" i="1"/>
  <c r="E5" i="1"/>
  <c r="E4" i="1"/>
  <c r="E3" i="1"/>
  <c r="E2" i="1"/>
  <c r="E10" i="1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" i="2"/>
</calcChain>
</file>

<file path=xl/sharedStrings.xml><?xml version="1.0" encoding="utf-8"?>
<sst xmlns="http://schemas.openxmlformats.org/spreadsheetml/2006/main" count="75" uniqueCount="53">
  <si>
    <t>Electrical Components</t>
  </si>
  <si>
    <t>Quantity</t>
  </si>
  <si>
    <t>Unit Cost (USD)</t>
  </si>
  <si>
    <t>Total Cost</t>
  </si>
  <si>
    <t>Lifespan</t>
  </si>
  <si>
    <t>1.5 MW Turbine (GE Vernova 1.5sle)</t>
  </si>
  <si>
    <t>PLC (Siemens SIMATIC S7-1200 CPU1215C-1)</t>
  </si>
  <si>
    <t>Battery Fraction</t>
  </si>
  <si>
    <t>Tank Fraction</t>
  </si>
  <si>
    <t>Battery kWh</t>
  </si>
  <si>
    <t>Tank Gal</t>
  </si>
  <si>
    <t>Battery Cost ($)</t>
  </si>
  <si>
    <t>Tank Cost ($)</t>
  </si>
  <si>
    <t>Total Cost ($)</t>
  </si>
  <si>
    <t>Submersible Pumps (WDM (Nidec) NHE Series high-head submersible)</t>
  </si>
  <si>
    <t>Battery (Tesla Megapack 3.9MWh unit)</t>
  </si>
  <si>
    <t>Booster Pumps (Grundfos CR 10-10 K)</t>
  </si>
  <si>
    <t>Pure Aqua Large Reverse Osmosis System RO-600 (Includes Pre and Post treatment)</t>
  </si>
  <si>
    <t>Brine Disposal Well</t>
  </si>
  <si>
    <t>Piping (total)</t>
  </si>
  <si>
    <t>Total</t>
  </si>
  <si>
    <t>Mechanical Components</t>
  </si>
  <si>
    <t>Cost (USD)</t>
  </si>
  <si>
    <t>1 MW Aeromotor Turbine</t>
  </si>
  <si>
    <t>Wind turbine rotor lock</t>
  </si>
  <si>
    <t>Gearbox (Winergy  PEAB series)</t>
  </si>
  <si>
    <t>Variable-Displacement Hydraulic Power Unit (HPU)</t>
  </si>
  <si>
    <t>300 Bar Hydraulic Manifold (Custom Ductile Iron Block)</t>
  </si>
  <si>
    <t>Note: likely will not be COTS, need custom engineering solutions for this scale</t>
  </si>
  <si>
    <t>Hydraulic Motor (225 kW rating) (Haaglund CA 50)</t>
  </si>
  <si>
    <t>Hydraulic Motor (225 kW rating) (Haaglund CA 70)</t>
  </si>
  <si>
    <t>Vertical Turbine Pump (PSI Prolew Flowserve VTP)</t>
  </si>
  <si>
    <t>Plunger Pump (Triplex Plunger Pump K 13000 – 3G)</t>
  </si>
  <si>
    <t>High Pressure Pump (Danfoss APP 78/1500 180B7808 (1300 L/min)</t>
  </si>
  <si>
    <t>Gate valve</t>
  </si>
  <si>
    <t>Extra storage tank (100,000 gallons)</t>
  </si>
  <si>
    <t>Pipes (total)</t>
  </si>
  <si>
    <t>Hybrid Components</t>
  </si>
  <si>
    <t>Gearbox (Winergy  PEAB series) - Must be ordered with second output shaft</t>
  </si>
  <si>
    <t xml:space="preserve">HCI544E 3-Phase - Stamford | 600 kW </t>
  </si>
  <si>
    <t>Rectifier/Inverter Package</t>
  </si>
  <si>
    <t>Energy Required for each subsystem</t>
  </si>
  <si>
    <t>All the same, just configured differently due to different layouts</t>
  </si>
  <si>
    <t>Groundwater extraction</t>
  </si>
  <si>
    <t>172.9 kW</t>
  </si>
  <si>
    <t>RO desalination</t>
  </si>
  <si>
    <t>311.5 kW</t>
  </si>
  <si>
    <t>Brine reinjection</t>
  </si>
  <si>
    <t>81.9 kW</t>
  </si>
  <si>
    <t>TDS</t>
  </si>
  <si>
    <t>kW required (RO Desalination)</t>
  </si>
  <si>
    <t>Depth</t>
  </si>
  <si>
    <t>kW required (pump energy)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</si>
</sst>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1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11"/>
      <color rgb="FF242424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Aptos Narrow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56082"/>
        <bgColor rgb="FF156082"/>
      </patternFill>
    </fill>
    <fill>
      <patternFill patternType="solid">
        <fgColor rgb="FFC0E6F5"/>
        <bgColor auto="1"/>
      </patternFill>
    </fill>
    <fill>
      <patternFill patternType="solid">
        <fgColor theme="4" tint="0.79998168889431442"/>
        <bgColor auto="1"/>
      </patternFill>
    </fill>
    <fill>
      <patternFill patternType="solid">
        <fgColor indexed="65"/>
        <bgColor auto="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2" borderId="0" xfId="0" applyFont="1" applyFill="1"/>
    <xf numFmtId="0" fontId="4" fillId="0" borderId="0" xfId="0" applyFont="1"/>
    <xf numFmtId="3" fontId="1" fillId="0" borderId="0" xfId="0" applyNumberFormat="1" applyFont="1"/>
    <xf numFmtId="0" fontId="5" fillId="0" borderId="0" xfId="0" applyFont="1"/>
    <xf numFmtId="0" fontId="6" fillId="0" borderId="0" xfId="0" applyFont="1"/>
    <xf numFmtId="0" fontId="2" fillId="0" borderId="0" xfId="0" applyFont="1"/>
    <xf numFmtId="8" fontId="1" fillId="0" borderId="0" xfId="0" applyNumberFormat="1" applyFont="1"/>
    <xf numFmtId="0" fontId="7" fillId="2" borderId="0" xfId="0" applyFont="1" applyFill="1"/>
    <xf numFmtId="0" fontId="8" fillId="0" borderId="0" xfId="0" applyFont="1"/>
    <xf numFmtId="0" fontId="9" fillId="0" borderId="0" xfId="0" applyFont="1"/>
    <xf numFmtId="8" fontId="9" fillId="0" borderId="0" xfId="0" applyNumberFormat="1" applyFont="1"/>
    <xf numFmtId="0" fontId="0" fillId="0" borderId="1" xfId="0" applyBorder="1"/>
    <xf numFmtId="8" fontId="0" fillId="0" borderId="0" xfId="0" applyNumberFormat="1"/>
    <xf numFmtId="8" fontId="5" fillId="0" borderId="0" xfId="0" applyNumberFormat="1" applyFont="1"/>
    <xf numFmtId="0" fontId="1" fillId="3" borderId="0" xfId="0" applyFont="1" applyFill="1"/>
    <xf numFmtId="0" fontId="0" fillId="4" borderId="1" xfId="0" applyFill="1" applyBorder="1"/>
    <xf numFmtId="8" fontId="1" fillId="3" borderId="0" xfId="0" applyNumberFormat="1" applyFont="1" applyFill="1"/>
    <xf numFmtId="8" fontId="0" fillId="5" borderId="0" xfId="0" applyNumberFormat="1" applyFill="1"/>
    <xf numFmtId="0" fontId="0" fillId="5" borderId="1" xfId="0" applyFill="1" applyBorder="1"/>
    <xf numFmtId="0" fontId="0" fillId="6" borderId="1" xfId="0" applyFill="1" applyBorder="1"/>
    <xf numFmtId="8" fontId="3" fillId="7" borderId="0" xfId="0" applyNumberFormat="1" applyFont="1" applyFill="1"/>
    <xf numFmtId="0" fontId="4" fillId="8" borderId="0" xfId="0" applyFont="1" applyFill="1"/>
    <xf numFmtId="0" fontId="1" fillId="8" borderId="0" xfId="0" applyFont="1" applyFill="1"/>
    <xf numFmtId="8" fontId="1" fillId="8" borderId="0" xfId="0" applyNumberFormat="1" applyFont="1" applyFill="1"/>
    <xf numFmtId="8" fontId="4" fillId="0" borderId="0" xfId="0" applyNumberFormat="1" applyFont="1"/>
    <xf numFmtId="0" fontId="1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37D88-D019-4C24-B43B-C69173A467AF}">
  <dimension ref="A1:R55"/>
  <sheetViews>
    <sheetView tabSelected="1" topLeftCell="A15" workbookViewId="0">
      <selection activeCell="F34" sqref="F34"/>
    </sheetView>
  </sheetViews>
  <sheetFormatPr defaultRowHeight="15" customHeight="1"/>
  <cols>
    <col min="2" max="2" width="59.28515625" customWidth="1"/>
    <col min="3" max="3" width="21.5703125" customWidth="1"/>
    <col min="4" max="4" width="25.140625" customWidth="1"/>
    <col min="5" max="5" width="16.140625" customWidth="1"/>
    <col min="6" max="6" width="14.85546875" customWidth="1"/>
    <col min="7" max="7" width="21.7109375" customWidth="1"/>
    <col min="12" max="12" width="13.85546875" customWidth="1"/>
    <col min="13" max="13" width="14.5703125" customWidth="1"/>
    <col min="14" max="14" width="14.85546875" customWidth="1"/>
    <col min="15" max="15" width="13.42578125" customWidth="1"/>
    <col min="16" max="16" width="16.140625" customWidth="1"/>
    <col min="17" max="17" width="13.140625" customWidth="1"/>
    <col min="18" max="18" width="10.5703125" customWidth="1"/>
  </cols>
  <sheetData>
    <row r="1" spans="1:18" ht="20.25" customHeight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18">
      <c r="A2" s="1"/>
      <c r="B2" s="16" t="s">
        <v>5</v>
      </c>
      <c r="C2" s="17">
        <v>1</v>
      </c>
      <c r="D2" s="18">
        <v>1000000</v>
      </c>
      <c r="E2" s="19">
        <f>D2*C2</f>
        <v>1000000</v>
      </c>
      <c r="F2">
        <v>20</v>
      </c>
    </row>
    <row r="3" spans="1:18" ht="15.75" customHeight="1">
      <c r="A3" s="1"/>
      <c r="B3" s="16" t="s">
        <v>6</v>
      </c>
      <c r="C3" s="20">
        <v>2</v>
      </c>
      <c r="D3" s="18">
        <v>2600</v>
      </c>
      <c r="E3" s="19">
        <f t="shared" ref="E3:E9" si="0">D3*C3</f>
        <v>5200</v>
      </c>
      <c r="F3">
        <v>15</v>
      </c>
      <c r="L3" s="3" t="s">
        <v>7</v>
      </c>
      <c r="M3" s="3" t="s">
        <v>8</v>
      </c>
      <c r="N3" s="3" t="s">
        <v>9</v>
      </c>
      <c r="O3" s="3" t="s">
        <v>10</v>
      </c>
      <c r="P3" s="3" t="s">
        <v>11</v>
      </c>
      <c r="Q3" s="3" t="s">
        <v>12</v>
      </c>
      <c r="R3" s="3" t="s">
        <v>13</v>
      </c>
    </row>
    <row r="4" spans="1:18">
      <c r="A4" s="1"/>
      <c r="B4" s="1" t="s">
        <v>14</v>
      </c>
      <c r="C4" s="21">
        <v>2</v>
      </c>
      <c r="D4" s="22">
        <v>200000</v>
      </c>
      <c r="E4" s="14">
        <f t="shared" si="0"/>
        <v>400000</v>
      </c>
      <c r="F4">
        <v>10</v>
      </c>
      <c r="L4" s="1">
        <v>0</v>
      </c>
      <c r="M4" s="1">
        <v>1</v>
      </c>
      <c r="N4" s="1">
        <v>0</v>
      </c>
      <c r="O4" s="4">
        <v>1000000</v>
      </c>
      <c r="P4" s="1">
        <v>0</v>
      </c>
      <c r="Q4" s="4">
        <v>150000</v>
      </c>
      <c r="R4" s="4">
        <v>150000</v>
      </c>
    </row>
    <row r="5" spans="1:18">
      <c r="A5" s="1"/>
      <c r="B5" s="1" t="s">
        <v>15</v>
      </c>
      <c r="C5" s="13">
        <v>1</v>
      </c>
      <c r="D5" s="22">
        <v>2600000</v>
      </c>
      <c r="E5" s="14">
        <f t="shared" si="0"/>
        <v>2600000</v>
      </c>
      <c r="F5">
        <v>15</v>
      </c>
      <c r="L5" s="1">
        <v>0.1</v>
      </c>
      <c r="M5" s="1">
        <v>0.9</v>
      </c>
      <c r="N5" s="4">
        <v>1000</v>
      </c>
      <c r="O5" s="4">
        <v>900000</v>
      </c>
      <c r="P5" s="4">
        <v>125000</v>
      </c>
      <c r="Q5" s="4">
        <v>135000</v>
      </c>
      <c r="R5" s="4">
        <v>260000</v>
      </c>
    </row>
    <row r="6" spans="1:18">
      <c r="A6" s="1"/>
      <c r="B6" s="1" t="s">
        <v>16</v>
      </c>
      <c r="C6" s="21">
        <v>4</v>
      </c>
      <c r="D6" s="22">
        <v>6000</v>
      </c>
      <c r="E6" s="14">
        <f t="shared" si="0"/>
        <v>24000</v>
      </c>
      <c r="F6">
        <v>15</v>
      </c>
      <c r="L6" s="1">
        <v>0.2</v>
      </c>
      <c r="M6" s="1">
        <v>0.8</v>
      </c>
      <c r="N6" s="4">
        <v>2000</v>
      </c>
      <c r="O6" s="4">
        <v>800000</v>
      </c>
      <c r="P6" s="4">
        <v>250000</v>
      </c>
      <c r="Q6" s="4">
        <v>120000</v>
      </c>
      <c r="R6" s="4">
        <v>370000</v>
      </c>
    </row>
    <row r="7" spans="1:18">
      <c r="A7" s="1"/>
      <c r="B7" s="1" t="s">
        <v>17</v>
      </c>
      <c r="C7" s="1">
        <v>1</v>
      </c>
      <c r="D7" s="8">
        <v>3500000</v>
      </c>
      <c r="E7" s="14">
        <f t="shared" si="0"/>
        <v>3500000</v>
      </c>
      <c r="F7">
        <v>20</v>
      </c>
      <c r="L7" s="1">
        <v>0.3</v>
      </c>
      <c r="M7" s="1">
        <v>0.7</v>
      </c>
      <c r="N7" s="4">
        <v>3000</v>
      </c>
      <c r="O7" s="4">
        <v>700000</v>
      </c>
      <c r="P7" s="4">
        <v>375000</v>
      </c>
      <c r="Q7" s="4">
        <v>105000</v>
      </c>
      <c r="R7" s="4">
        <v>480000</v>
      </c>
    </row>
    <row r="8" spans="1:18">
      <c r="A8" s="1"/>
      <c r="B8" s="1" t="s">
        <v>18</v>
      </c>
      <c r="C8" s="21">
        <v>1</v>
      </c>
      <c r="D8" s="22">
        <v>2300000</v>
      </c>
      <c r="E8" s="14">
        <f t="shared" si="0"/>
        <v>2300000</v>
      </c>
      <c r="F8">
        <v>30</v>
      </c>
      <c r="L8" s="1">
        <v>0.4</v>
      </c>
      <c r="M8" s="1">
        <v>0.6</v>
      </c>
      <c r="N8" s="4">
        <v>4000</v>
      </c>
      <c r="O8" s="4">
        <v>600000</v>
      </c>
      <c r="P8" s="4">
        <v>500000</v>
      </c>
      <c r="Q8" s="4">
        <v>90000</v>
      </c>
      <c r="R8" s="4">
        <v>590000</v>
      </c>
    </row>
    <row r="9" spans="1:18">
      <c r="A9" s="1"/>
      <c r="B9" s="1" t="s">
        <v>19</v>
      </c>
      <c r="C9" s="13">
        <v>1</v>
      </c>
      <c r="D9" s="22">
        <v>2000000</v>
      </c>
      <c r="E9" s="14">
        <f t="shared" si="0"/>
        <v>2000000</v>
      </c>
      <c r="F9">
        <v>30</v>
      </c>
      <c r="L9" s="1">
        <v>0.5</v>
      </c>
      <c r="M9" s="1">
        <v>0.5</v>
      </c>
      <c r="N9" s="4">
        <v>5000</v>
      </c>
      <c r="O9" s="4">
        <v>500000</v>
      </c>
      <c r="P9" s="4">
        <v>625000</v>
      </c>
      <c r="Q9" s="4">
        <v>75000</v>
      </c>
      <c r="R9" s="4">
        <v>700000</v>
      </c>
    </row>
    <row r="10" spans="1:18">
      <c r="A10" s="1"/>
      <c r="B10" s="23" t="s">
        <v>20</v>
      </c>
      <c r="C10" s="24"/>
      <c r="D10" s="25"/>
      <c r="E10" s="15">
        <f>SUM(E2:E9)</f>
        <v>11829200</v>
      </c>
      <c r="L10" s="1">
        <v>0.6</v>
      </c>
      <c r="M10" s="1">
        <v>0.4</v>
      </c>
      <c r="N10" s="4">
        <v>6000</v>
      </c>
      <c r="O10" s="4">
        <v>400000</v>
      </c>
      <c r="P10" s="4">
        <v>750000</v>
      </c>
      <c r="Q10" s="4">
        <v>60000</v>
      </c>
      <c r="R10" s="4">
        <v>810000</v>
      </c>
    </row>
    <row r="11" spans="1:18">
      <c r="A11" s="1"/>
      <c r="B11" s="3"/>
      <c r="C11" s="1"/>
      <c r="D11" s="8"/>
      <c r="E11" s="15"/>
      <c r="L11" s="1">
        <v>0.7</v>
      </c>
      <c r="M11" s="1">
        <v>0.3</v>
      </c>
      <c r="N11" s="4">
        <v>7000</v>
      </c>
      <c r="O11" s="4">
        <v>300000</v>
      </c>
      <c r="P11" s="4">
        <v>875000</v>
      </c>
      <c r="Q11" s="4">
        <v>45000</v>
      </c>
      <c r="R11" s="4">
        <v>920000</v>
      </c>
    </row>
    <row r="12" spans="1:18">
      <c r="A12" s="3"/>
      <c r="B12" s="1"/>
      <c r="C12" s="1"/>
      <c r="D12" s="1"/>
      <c r="E12" s="1"/>
      <c r="L12" s="1">
        <v>0.8</v>
      </c>
      <c r="M12" s="1">
        <v>0.2</v>
      </c>
      <c r="N12" s="4">
        <v>8000</v>
      </c>
      <c r="O12" s="4">
        <v>200000</v>
      </c>
      <c r="P12" s="4">
        <v>1000000</v>
      </c>
      <c r="Q12" s="4">
        <v>30000</v>
      </c>
      <c r="R12" s="4">
        <v>1030000</v>
      </c>
    </row>
    <row r="13" spans="1:18">
      <c r="A13" s="1"/>
      <c r="B13" s="1"/>
      <c r="C13" s="1"/>
      <c r="D13" s="1"/>
      <c r="E13" s="1"/>
      <c r="F13" s="1"/>
      <c r="G13" s="1"/>
      <c r="L13" s="1">
        <v>0.9</v>
      </c>
      <c r="M13" s="1">
        <v>0.1</v>
      </c>
      <c r="N13" s="4">
        <v>9000</v>
      </c>
      <c r="O13" s="4">
        <v>100000</v>
      </c>
      <c r="P13" s="4">
        <v>1125000</v>
      </c>
      <c r="Q13" s="4">
        <v>15000</v>
      </c>
      <c r="R13" s="4">
        <v>1140000</v>
      </c>
    </row>
    <row r="14" spans="1:18">
      <c r="A14" s="1"/>
      <c r="B14" s="2" t="s">
        <v>21</v>
      </c>
      <c r="C14" s="2" t="s">
        <v>1</v>
      </c>
      <c r="D14" s="2" t="s">
        <v>22</v>
      </c>
      <c r="E14" s="9" t="s">
        <v>4</v>
      </c>
      <c r="F14" s="1"/>
      <c r="G14" s="1"/>
      <c r="L14" s="1">
        <v>1</v>
      </c>
      <c r="M14" s="1">
        <v>0</v>
      </c>
      <c r="N14" s="4">
        <v>10000</v>
      </c>
      <c r="O14" s="1">
        <v>0</v>
      </c>
      <c r="P14" s="4">
        <v>1250000</v>
      </c>
      <c r="Q14" s="1">
        <v>0</v>
      </c>
      <c r="R14" s="4">
        <v>1250000</v>
      </c>
    </row>
    <row r="15" spans="1:18">
      <c r="A15" s="1"/>
      <c r="B15" s="24" t="s">
        <v>23</v>
      </c>
      <c r="C15" s="24">
        <v>1</v>
      </c>
      <c r="D15" s="25">
        <v>1000000</v>
      </c>
      <c r="E15" s="10">
        <v>25</v>
      </c>
      <c r="F15" s="10"/>
      <c r="G15" s="7"/>
    </row>
    <row r="16" spans="1:18">
      <c r="A16" s="1"/>
      <c r="B16" s="24" t="s">
        <v>24</v>
      </c>
      <c r="C16" s="24">
        <v>3</v>
      </c>
      <c r="D16" s="25">
        <v>15000</v>
      </c>
      <c r="E16" s="10">
        <v>20</v>
      </c>
      <c r="F16" s="10"/>
      <c r="G16" s="1"/>
    </row>
    <row r="17" spans="1:7">
      <c r="A17" s="1"/>
      <c r="B17" s="1" t="s">
        <v>25</v>
      </c>
      <c r="C17" s="1">
        <v>1</v>
      </c>
      <c r="D17" s="22">
        <v>200000</v>
      </c>
      <c r="E17" s="10">
        <v>20</v>
      </c>
      <c r="F17" s="10"/>
      <c r="G17" s="1"/>
    </row>
    <row r="18" spans="1:7">
      <c r="A18" s="1"/>
      <c r="B18" s="1" t="s">
        <v>26</v>
      </c>
      <c r="C18" s="1">
        <v>1</v>
      </c>
      <c r="D18" s="22">
        <v>300000</v>
      </c>
      <c r="E18" s="10">
        <v>15</v>
      </c>
      <c r="F18" s="10"/>
      <c r="G18" s="1"/>
    </row>
    <row r="19" spans="1:7">
      <c r="A19" s="1"/>
      <c r="B19" s="1" t="s">
        <v>27</v>
      </c>
      <c r="C19" s="1">
        <v>1</v>
      </c>
      <c r="D19" s="22">
        <v>20000</v>
      </c>
      <c r="E19" s="10">
        <v>20</v>
      </c>
      <c r="F19" s="10" t="s">
        <v>28</v>
      </c>
      <c r="G19" s="1"/>
    </row>
    <row r="20" spans="1:7">
      <c r="A20" s="1"/>
      <c r="B20" s="1" t="s">
        <v>29</v>
      </c>
      <c r="C20" s="1">
        <v>2</v>
      </c>
      <c r="D20" s="22">
        <v>60000</v>
      </c>
      <c r="E20" s="10">
        <v>15</v>
      </c>
      <c r="F20" s="10" t="s">
        <v>28</v>
      </c>
      <c r="G20" s="1"/>
    </row>
    <row r="21" spans="1:7">
      <c r="A21" s="1"/>
      <c r="B21" s="1" t="s">
        <v>30</v>
      </c>
      <c r="C21" s="1">
        <v>1</v>
      </c>
      <c r="D21" s="22">
        <v>50000</v>
      </c>
      <c r="E21" s="10">
        <v>15</v>
      </c>
      <c r="F21" s="10"/>
      <c r="G21" s="1"/>
    </row>
    <row r="22" spans="1:7">
      <c r="A22" s="1"/>
      <c r="B22" s="1" t="s">
        <v>31</v>
      </c>
      <c r="C22" s="1">
        <v>1</v>
      </c>
      <c r="D22" s="22">
        <v>60000</v>
      </c>
      <c r="E22" s="10">
        <v>15</v>
      </c>
      <c r="F22" s="10"/>
      <c r="G22" s="1"/>
    </row>
    <row r="23" spans="1:7">
      <c r="A23" s="1"/>
      <c r="B23" s="1" t="s">
        <v>32</v>
      </c>
      <c r="C23" s="1">
        <v>1</v>
      </c>
      <c r="D23" s="22">
        <v>35000</v>
      </c>
      <c r="E23" s="10">
        <v>20</v>
      </c>
      <c r="F23" s="10"/>
      <c r="G23" s="1"/>
    </row>
    <row r="24" spans="1:7">
      <c r="A24" s="1"/>
      <c r="B24" s="1" t="s">
        <v>33</v>
      </c>
      <c r="C24" s="1">
        <v>3</v>
      </c>
      <c r="D24" s="22">
        <v>100000</v>
      </c>
      <c r="E24" s="10">
        <v>15</v>
      </c>
      <c r="F24" s="10"/>
      <c r="G24" s="1"/>
    </row>
    <row r="25" spans="1:7">
      <c r="A25" s="1"/>
      <c r="B25" s="24" t="s">
        <v>34</v>
      </c>
      <c r="C25" s="24">
        <v>2</v>
      </c>
      <c r="D25" s="25">
        <v>8000</v>
      </c>
      <c r="E25" s="10">
        <v>15</v>
      </c>
      <c r="F25" s="10"/>
      <c r="G25" s="1"/>
    </row>
    <row r="26" spans="1:7">
      <c r="A26" s="1"/>
      <c r="B26" s="1" t="s">
        <v>17</v>
      </c>
      <c r="C26" s="1">
        <v>1</v>
      </c>
      <c r="D26" s="8">
        <v>3500000</v>
      </c>
      <c r="E26" s="10">
        <v>20</v>
      </c>
      <c r="F26" s="10"/>
      <c r="G26" s="1"/>
    </row>
    <row r="27" spans="1:7">
      <c r="A27" s="1"/>
      <c r="B27" s="1" t="s">
        <v>35</v>
      </c>
      <c r="C27" s="1">
        <v>2</v>
      </c>
      <c r="D27" s="8">
        <v>140000</v>
      </c>
      <c r="E27" s="10">
        <v>30</v>
      </c>
      <c r="F27" s="10"/>
      <c r="G27" s="1"/>
    </row>
    <row r="28" spans="1:7">
      <c r="A28" s="1"/>
      <c r="B28" s="24" t="s">
        <v>36</v>
      </c>
      <c r="C28" s="24"/>
      <c r="D28" s="25">
        <v>2000000</v>
      </c>
      <c r="E28" s="10">
        <v>30</v>
      </c>
      <c r="F28" s="10"/>
      <c r="G28" s="1"/>
    </row>
    <row r="29" spans="1:7">
      <c r="A29" s="1"/>
      <c r="B29" s="3" t="s">
        <v>20</v>
      </c>
      <c r="C29" s="3"/>
      <c r="D29" s="26">
        <f>SUM(D15:D27)</f>
        <v>5488000</v>
      </c>
      <c r="E29" s="10"/>
      <c r="F29" s="10"/>
      <c r="G29" s="1"/>
    </row>
    <row r="30" spans="1:7">
      <c r="A30" s="3"/>
      <c r="B30" s="11"/>
      <c r="C30" s="11"/>
      <c r="D30" s="12"/>
      <c r="E30" s="10"/>
      <c r="F30" s="10"/>
      <c r="G30" s="3"/>
    </row>
    <row r="31" spans="1:7">
      <c r="A31" s="1"/>
      <c r="B31" s="11"/>
      <c r="C31" s="11"/>
      <c r="D31" s="12"/>
      <c r="E31" s="10"/>
      <c r="F31" s="10"/>
      <c r="G31" s="1"/>
    </row>
    <row r="32" spans="1:7">
      <c r="A32" s="1"/>
      <c r="B32" s="9" t="s">
        <v>37</v>
      </c>
      <c r="C32" s="9" t="s">
        <v>1</v>
      </c>
      <c r="D32" s="9" t="s">
        <v>22</v>
      </c>
      <c r="E32" s="9" t="s">
        <v>4</v>
      </c>
      <c r="F32" s="10"/>
      <c r="G32" s="1"/>
    </row>
    <row r="33" spans="2:6">
      <c r="B33" s="24" t="s">
        <v>23</v>
      </c>
      <c r="C33" s="24">
        <v>1</v>
      </c>
      <c r="D33" s="25">
        <v>1000000</v>
      </c>
      <c r="E33">
        <v>25</v>
      </c>
    </row>
    <row r="34" spans="2:6">
      <c r="B34" s="24" t="s">
        <v>24</v>
      </c>
      <c r="C34" s="24">
        <v>3</v>
      </c>
      <c r="D34" s="25">
        <v>15000</v>
      </c>
      <c r="E34">
        <v>20</v>
      </c>
    </row>
    <row r="35" spans="2:6">
      <c r="B35" s="1" t="s">
        <v>38</v>
      </c>
      <c r="C35" s="1">
        <v>1</v>
      </c>
      <c r="D35" s="22">
        <v>200000</v>
      </c>
      <c r="E35">
        <v>20</v>
      </c>
      <c r="F35" s="10" t="s">
        <v>28</v>
      </c>
    </row>
    <row r="36" spans="2:6">
      <c r="B36" s="1" t="s">
        <v>26</v>
      </c>
      <c r="C36" s="1">
        <v>1</v>
      </c>
      <c r="D36" s="22">
        <v>300000</v>
      </c>
      <c r="E36">
        <v>15</v>
      </c>
    </row>
    <row r="37" spans="2:6">
      <c r="B37" s="1" t="s">
        <v>30</v>
      </c>
      <c r="C37" s="1">
        <v>1</v>
      </c>
      <c r="D37" s="22">
        <v>50000</v>
      </c>
      <c r="E37">
        <v>15</v>
      </c>
    </row>
    <row r="38" spans="2:6">
      <c r="B38" s="1" t="s">
        <v>31</v>
      </c>
      <c r="C38" s="1">
        <v>1</v>
      </c>
      <c r="D38" s="22">
        <v>60000</v>
      </c>
      <c r="E38">
        <v>15</v>
      </c>
    </row>
    <row r="39" spans="2:6">
      <c r="B39" s="1" t="s">
        <v>35</v>
      </c>
      <c r="C39" s="1">
        <v>2</v>
      </c>
      <c r="D39" s="8">
        <v>140000</v>
      </c>
      <c r="E39">
        <v>30</v>
      </c>
    </row>
    <row r="40" spans="2:6">
      <c r="B40" s="24" t="s">
        <v>36</v>
      </c>
      <c r="C40" s="24"/>
      <c r="D40" s="25">
        <v>2000000</v>
      </c>
      <c r="E40">
        <v>30</v>
      </c>
    </row>
    <row r="41" spans="2:6">
      <c r="B41" s="16" t="s">
        <v>6</v>
      </c>
      <c r="C41" s="20">
        <v>2</v>
      </c>
      <c r="D41" s="18">
        <v>5200</v>
      </c>
      <c r="E41">
        <v>15</v>
      </c>
    </row>
    <row r="42" spans="2:6">
      <c r="B42" s="1" t="s">
        <v>15</v>
      </c>
      <c r="C42" s="13">
        <v>1</v>
      </c>
      <c r="D42" s="22">
        <v>2600000</v>
      </c>
      <c r="E42">
        <v>15</v>
      </c>
    </row>
    <row r="43" spans="2:6">
      <c r="B43" s="1" t="s">
        <v>17</v>
      </c>
      <c r="C43" s="1">
        <v>1</v>
      </c>
      <c r="D43" s="8">
        <v>3500000</v>
      </c>
      <c r="E43">
        <v>20</v>
      </c>
    </row>
    <row r="44" spans="2:6">
      <c r="B44" s="1" t="s">
        <v>33</v>
      </c>
      <c r="C44" s="1">
        <v>3</v>
      </c>
      <c r="D44" s="22">
        <v>100000</v>
      </c>
      <c r="E44">
        <v>15</v>
      </c>
    </row>
    <row r="45" spans="2:6">
      <c r="B45" s="1" t="s">
        <v>39</v>
      </c>
      <c r="C45" s="1">
        <v>1</v>
      </c>
      <c r="D45" s="22">
        <v>200000</v>
      </c>
      <c r="E45">
        <v>20</v>
      </c>
    </row>
    <row r="46" spans="2:6" ht="15" customHeight="1">
      <c r="B46" s="1" t="s">
        <v>40</v>
      </c>
      <c r="C46" s="1">
        <v>1</v>
      </c>
      <c r="D46" s="22">
        <v>60000</v>
      </c>
      <c r="E46">
        <v>15</v>
      </c>
    </row>
    <row r="47" spans="2:6" ht="15" customHeight="1">
      <c r="B47" s="6" t="s">
        <v>20</v>
      </c>
      <c r="D47" s="15">
        <f>SUM(D33:D44)</f>
        <v>9970200</v>
      </c>
    </row>
    <row r="51" spans="2:5" ht="15" customHeight="1">
      <c r="B51" s="6" t="s">
        <v>41</v>
      </c>
      <c r="C51" s="27" t="s">
        <v>42</v>
      </c>
      <c r="D51" s="27"/>
      <c r="E51" s="27"/>
    </row>
    <row r="52" spans="2:5" ht="15" customHeight="1">
      <c r="B52" s="27" t="s">
        <v>43</v>
      </c>
      <c r="C52" t="s">
        <v>44</v>
      </c>
    </row>
    <row r="53" spans="2:5" ht="15" customHeight="1">
      <c r="B53" s="27" t="s">
        <v>45</v>
      </c>
      <c r="C53" t="s">
        <v>46</v>
      </c>
    </row>
    <row r="54" spans="2:5" ht="15" customHeight="1">
      <c r="B54" s="27" t="s">
        <v>47</v>
      </c>
      <c r="C54" t="s">
        <v>48</v>
      </c>
    </row>
    <row r="55" spans="2:5" ht="15" customHeight="1">
      <c r="B55" s="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9F0B8-8C3B-42AE-9AF7-8CD4FC164E71}">
  <dimension ref="A1:E21"/>
  <sheetViews>
    <sheetView workbookViewId="0">
      <selection activeCell="B1" sqref="B1"/>
    </sheetView>
  </sheetViews>
  <sheetFormatPr defaultRowHeight="15"/>
  <cols>
    <col min="3" max="3" width="6.85546875" customWidth="1"/>
  </cols>
  <sheetData>
    <row r="1" spans="1:5">
      <c r="A1" s="5" t="s">
        <v>49</v>
      </c>
      <c r="B1" s="6" t="s">
        <v>50</v>
      </c>
      <c r="D1" s="5" t="s">
        <v>51</v>
      </c>
      <c r="E1" s="6" t="s">
        <v>52</v>
      </c>
    </row>
    <row r="2" spans="1:5">
      <c r="A2">
        <v>0</v>
      </c>
      <c r="B2">
        <f>0.0146053*A2 + 630.72</f>
        <v>630.72</v>
      </c>
      <c r="D2">
        <v>0</v>
      </c>
      <c r="E2">
        <f>0.5725*D2</f>
        <v>0</v>
      </c>
    </row>
    <row r="3" spans="1:5">
      <c r="A3">
        <v>100</v>
      </c>
      <c r="B3">
        <f t="shared" ref="B3:B21" si="0">0.0146053*A3 + 630.72</f>
        <v>632.18052999999998</v>
      </c>
      <c r="D3">
        <v>100</v>
      </c>
      <c r="E3">
        <f t="shared" ref="E3:E21" si="1">0.5725*D3</f>
        <v>57.25</v>
      </c>
    </row>
    <row r="4" spans="1:5">
      <c r="A4">
        <v>200</v>
      </c>
      <c r="B4">
        <f t="shared" si="0"/>
        <v>633.64106000000004</v>
      </c>
      <c r="D4">
        <v>200</v>
      </c>
      <c r="E4">
        <f t="shared" si="1"/>
        <v>114.5</v>
      </c>
    </row>
    <row r="5" spans="1:5">
      <c r="A5">
        <v>300</v>
      </c>
      <c r="B5">
        <f t="shared" si="0"/>
        <v>635.10158999999999</v>
      </c>
      <c r="D5">
        <v>300</v>
      </c>
      <c r="E5">
        <f t="shared" si="1"/>
        <v>171.75</v>
      </c>
    </row>
    <row r="6" spans="1:5">
      <c r="A6">
        <v>400</v>
      </c>
      <c r="B6">
        <f t="shared" si="0"/>
        <v>636.56212000000005</v>
      </c>
      <c r="D6">
        <v>400</v>
      </c>
      <c r="E6">
        <f t="shared" si="1"/>
        <v>229</v>
      </c>
    </row>
    <row r="7" spans="1:5">
      <c r="A7">
        <v>500</v>
      </c>
      <c r="B7">
        <f t="shared" si="0"/>
        <v>638.02265</v>
      </c>
      <c r="D7">
        <v>500</v>
      </c>
      <c r="E7">
        <f t="shared" si="1"/>
        <v>286.25</v>
      </c>
    </row>
    <row r="8" spans="1:5">
      <c r="A8">
        <v>600</v>
      </c>
      <c r="B8">
        <f t="shared" si="0"/>
        <v>639.48318000000006</v>
      </c>
      <c r="D8">
        <v>600</v>
      </c>
      <c r="E8">
        <f t="shared" si="1"/>
        <v>343.5</v>
      </c>
    </row>
    <row r="9" spans="1:5">
      <c r="A9">
        <v>700</v>
      </c>
      <c r="B9">
        <f t="shared" si="0"/>
        <v>640.94371000000001</v>
      </c>
      <c r="D9">
        <v>700</v>
      </c>
      <c r="E9">
        <f t="shared" si="1"/>
        <v>400.75</v>
      </c>
    </row>
    <row r="10" spans="1:5">
      <c r="A10">
        <v>800</v>
      </c>
      <c r="B10">
        <f t="shared" si="0"/>
        <v>642.40424000000007</v>
      </c>
      <c r="D10">
        <v>800</v>
      </c>
      <c r="E10">
        <f t="shared" si="1"/>
        <v>458</v>
      </c>
    </row>
    <row r="11" spans="1:5">
      <c r="A11">
        <v>900</v>
      </c>
      <c r="B11">
        <f t="shared" si="0"/>
        <v>643.86477000000002</v>
      </c>
      <c r="D11">
        <v>900</v>
      </c>
      <c r="E11">
        <f t="shared" si="1"/>
        <v>515.25</v>
      </c>
    </row>
    <row r="12" spans="1:5">
      <c r="A12">
        <v>1000</v>
      </c>
      <c r="B12">
        <f t="shared" si="0"/>
        <v>645.32529999999997</v>
      </c>
      <c r="D12">
        <v>1000</v>
      </c>
      <c r="E12">
        <f t="shared" si="1"/>
        <v>572.5</v>
      </c>
    </row>
    <row r="13" spans="1:5">
      <c r="A13">
        <v>1100</v>
      </c>
      <c r="B13">
        <f t="shared" si="0"/>
        <v>646.78583000000003</v>
      </c>
      <c r="D13">
        <v>1100</v>
      </c>
      <c r="E13">
        <f t="shared" si="1"/>
        <v>629.75</v>
      </c>
    </row>
    <row r="14" spans="1:5">
      <c r="A14">
        <v>1200</v>
      </c>
      <c r="B14">
        <f t="shared" si="0"/>
        <v>648.24635999999998</v>
      </c>
      <c r="D14">
        <v>1200</v>
      </c>
      <c r="E14">
        <f t="shared" si="1"/>
        <v>687</v>
      </c>
    </row>
    <row r="15" spans="1:5">
      <c r="A15">
        <v>1300</v>
      </c>
      <c r="B15">
        <f t="shared" si="0"/>
        <v>649.70689000000004</v>
      </c>
      <c r="D15">
        <v>1300</v>
      </c>
      <c r="E15">
        <f t="shared" si="1"/>
        <v>744.25</v>
      </c>
    </row>
    <row r="16" spans="1:5">
      <c r="A16">
        <v>1400</v>
      </c>
      <c r="B16">
        <f t="shared" si="0"/>
        <v>651.16741999999999</v>
      </c>
      <c r="D16">
        <v>1400</v>
      </c>
      <c r="E16">
        <f t="shared" si="1"/>
        <v>801.5</v>
      </c>
    </row>
    <row r="17" spans="1:5">
      <c r="A17">
        <v>1500</v>
      </c>
      <c r="B17">
        <f t="shared" si="0"/>
        <v>652.62795000000006</v>
      </c>
      <c r="D17">
        <v>1500</v>
      </c>
      <c r="E17">
        <f t="shared" si="1"/>
        <v>858.75</v>
      </c>
    </row>
    <row r="18" spans="1:5">
      <c r="A18">
        <v>1600</v>
      </c>
      <c r="B18">
        <f t="shared" si="0"/>
        <v>654.08848</v>
      </c>
      <c r="D18">
        <v>1600</v>
      </c>
      <c r="E18">
        <f t="shared" si="1"/>
        <v>916</v>
      </c>
    </row>
    <row r="19" spans="1:5">
      <c r="A19">
        <v>1700</v>
      </c>
      <c r="B19">
        <f t="shared" si="0"/>
        <v>655.54901000000007</v>
      </c>
      <c r="D19">
        <v>1700</v>
      </c>
      <c r="E19">
        <f t="shared" si="1"/>
        <v>973.25</v>
      </c>
    </row>
    <row r="20" spans="1:5">
      <c r="A20">
        <v>1800</v>
      </c>
      <c r="B20">
        <f t="shared" si="0"/>
        <v>657.00954000000002</v>
      </c>
      <c r="D20">
        <v>1800</v>
      </c>
      <c r="E20">
        <f t="shared" si="1"/>
        <v>1030.5</v>
      </c>
    </row>
    <row r="21" spans="1:5">
      <c r="A21">
        <v>1900</v>
      </c>
      <c r="B21">
        <f t="shared" si="0"/>
        <v>658.47007000000008</v>
      </c>
      <c r="D21">
        <v>1900</v>
      </c>
      <c r="E21">
        <f t="shared" si="1"/>
        <v>1087.75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Ren, Kevin Y</dc:creator>
  <cp:keywords/>
  <dc:description/>
  <cp:lastModifiedBy/>
  <cp:revision/>
  <dcterms:created xsi:type="dcterms:W3CDTF">2026-02-21T02:25:14Z</dcterms:created>
  <dcterms:modified xsi:type="dcterms:W3CDTF">2026-03-29T18:52:42Z</dcterms:modified>
  <cp:category/>
  <cp:contentStatus/>
</cp:coreProperties>
</file>