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Part 1" sheetId="1" state="visible" r:id="rId1"/>
    <sheet xmlns:r="http://schemas.openxmlformats.org/officeDocument/2006/relationships" name="Part 2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_);[Red]\(&quot;$&quot;#,##0.00\)"/>
  </numFmts>
  <fonts count="11">
    <font>
      <name val="Aptos Narrow"/>
      <family val="2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color rgb="FF242424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b val="1"/>
      <color rgb="FFFFFFFF"/>
      <sz val="11"/>
    </font>
    <font>
      <name val="Aptos Narrow"/>
      <family val="2"/>
      <color rgb="FF000000"/>
      <sz val="11"/>
    </font>
    <font>
      <name val="Aptos Narrow"/>
      <family val="2"/>
      <b val="1"/>
      <color rgb="FF000000"/>
      <sz val="11"/>
    </font>
    <font>
      <name val="Aptos Narrow"/>
      <family val="2"/>
      <color theme="1"/>
      <sz val="11"/>
      <u val="single"/>
      <scheme val="minor"/>
    </font>
  </fonts>
  <fills count="9">
    <fill>
      <patternFill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auto="1"/>
      </patternFill>
    </fill>
    <fill>
      <patternFill patternType="solid">
        <fgColor theme="4" tint="0.7999816888943144"/>
        <bgColor auto="1"/>
      </patternFill>
    </fill>
    <fill>
      <patternFill patternType="solid">
        <fgColor indexed="65"/>
        <bgColor auto="1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4" fillId="0" borderId="0" pivotButton="0" quotePrefix="0" xfId="0"/>
    <xf numFmtId="3" fontId="1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0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1" fillId="3" borderId="0" pivotButton="0" quotePrefix="0" xfId="0"/>
    <xf numFmtId="0" fontId="0" fillId="4" borderId="1" pivotButton="0" quotePrefix="0" xfId="0"/>
    <xf numFmtId="164" fontId="1" fillId="3" borderId="0" pivotButton="0" quotePrefix="0" xfId="0"/>
    <xf numFmtId="164" fontId="0" fillId="5" borderId="0" pivotButton="0" quotePrefix="0" xfId="0"/>
    <xf numFmtId="0" fontId="0" fillId="5" borderId="1" pivotButton="0" quotePrefix="0" xfId="0"/>
    <xf numFmtId="0" fontId="0" fillId="6" borderId="1" pivotButton="0" quotePrefix="0" xfId="0"/>
    <xf numFmtId="164" fontId="3" fillId="7" borderId="0" pivotButton="0" quotePrefix="0" xfId="0"/>
    <xf numFmtId="0" fontId="4" fillId="8" borderId="0" pivotButton="0" quotePrefix="0" xfId="0"/>
    <xf numFmtId="0" fontId="1" fillId="8" borderId="0" pivotButton="0" quotePrefix="0" xfId="0"/>
    <xf numFmtId="164" fontId="1" fillId="8" borderId="0" pivotButton="0" quotePrefix="0" xfId="0"/>
    <xf numFmtId="164" fontId="4" fillId="0" borderId="0" pivotButton="0" quotePrefix="0" xfId="0"/>
    <xf numFmtId="0" fontId="10" fillId="0" borderId="0" pivotButton="0" quotePrefix="0" xfId="0"/>
    <xf numFmtId="164" fontId="1" fillId="3" borderId="0" pivotButton="0" quotePrefix="0" xfId="0"/>
    <xf numFmtId="164" fontId="0" fillId="5" borderId="0" pivotButton="0" quotePrefix="0" xfId="0"/>
    <xf numFmtId="164" fontId="3" fillId="7" borderId="0" pivotButton="0" quotePrefix="0" xfId="0"/>
    <xf numFmtId="164" fontId="0" fillId="0" borderId="0" pivotButton="0" quotePrefix="0" xfId="0"/>
    <xf numFmtId="164" fontId="1" fillId="0" borderId="0" pivotButton="0" quotePrefix="0" xfId="0"/>
    <xf numFmtId="164" fontId="1" fillId="8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9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6"/>
  <sheetViews>
    <sheetView tabSelected="1" topLeftCell="A15" workbookViewId="0">
      <selection activeCell="F34" sqref="F34"/>
    </sheetView>
  </sheetViews>
  <sheetFormatPr baseColWidth="8" defaultRowHeight="15" customHeight="1"/>
  <cols>
    <col width="59.28515625" customWidth="1" min="2" max="2"/>
    <col width="21.5703125" customWidth="1" min="3" max="3"/>
    <col width="25.140625" customWidth="1" min="4" max="4"/>
    <col width="16.140625" customWidth="1" min="5" max="5"/>
    <col width="14.85546875" customWidth="1" min="6" max="6"/>
    <col width="21.7109375" customWidth="1" min="7" max="7"/>
    <col width="13.85546875" customWidth="1" min="12" max="12"/>
    <col width="14.5703125" customWidth="1" min="13" max="13"/>
    <col width="14.85546875" customWidth="1" min="14" max="14"/>
    <col width="13.42578125" customWidth="1" min="15" max="15"/>
    <col width="16.140625" customWidth="1" min="16" max="16"/>
    <col width="13.140625" customWidth="1" min="17" max="17"/>
    <col width="10.5703125" customWidth="1" min="18" max="18"/>
  </cols>
  <sheetData>
    <row r="1" ht="20.25" customHeight="1">
      <c r="A1" s="1" t="n"/>
      <c r="B1" s="2" t="inlineStr">
        <is>
          <t>Electrical Components</t>
        </is>
      </c>
      <c r="C1" s="2" t="inlineStr">
        <is>
          <t>Quantity</t>
        </is>
      </c>
      <c r="D1" s="2" t="inlineStr">
        <is>
          <t>Unit Cost (USD)</t>
        </is>
      </c>
      <c r="E1" s="2" t="inlineStr">
        <is>
          <t>Total Cost</t>
        </is>
      </c>
      <c r="F1" s="2" t="inlineStr">
        <is>
          <t>Lifespan</t>
        </is>
      </c>
    </row>
    <row r="2">
      <c r="A2" s="1" t="n"/>
      <c r="B2" s="16" t="inlineStr">
        <is>
          <t>1.5 MW Turbine (GE Vernova 1.5sle)</t>
        </is>
      </c>
      <c r="C2" s="17" t="n">
        <v>1</v>
      </c>
      <c r="D2" s="28" t="n">
        <v>1000000</v>
      </c>
      <c r="E2" s="29">
        <f>D2*C2</f>
        <v/>
      </c>
      <c r="F2" t="n">
        <v>20</v>
      </c>
    </row>
    <row r="3" ht="15.75" customHeight="1">
      <c r="A3" s="1" t="n"/>
      <c r="B3" s="16" t="inlineStr">
        <is>
          <t>PLC (Siemens SIMATIC S7-1200 CPU1215C-1)</t>
        </is>
      </c>
      <c r="C3" s="20" t="n">
        <v>2</v>
      </c>
      <c r="D3" s="28" t="n">
        <v>2600</v>
      </c>
      <c r="E3" s="29">
        <f>D3*C3</f>
        <v/>
      </c>
      <c r="F3" t="n">
        <v>15</v>
      </c>
      <c r="L3" s="3" t="inlineStr">
        <is>
          <t>Battery Fraction</t>
        </is>
      </c>
      <c r="M3" s="3" t="inlineStr">
        <is>
          <t>Tank Fraction</t>
        </is>
      </c>
      <c r="N3" s="3" t="inlineStr">
        <is>
          <t>Battery kWh</t>
        </is>
      </c>
      <c r="O3" s="3" t="inlineStr">
        <is>
          <t>Tank Gal</t>
        </is>
      </c>
      <c r="P3" s="3" t="inlineStr">
        <is>
          <t>Battery Cost ($)</t>
        </is>
      </c>
      <c r="Q3" s="3" t="inlineStr">
        <is>
          <t>Tank Cost ($)</t>
        </is>
      </c>
      <c r="R3" s="3" t="inlineStr">
        <is>
          <t>Total Cost ($)</t>
        </is>
      </c>
    </row>
    <row r="4">
      <c r="A4" s="1" t="n"/>
      <c r="B4" s="1" t="inlineStr">
        <is>
          <t>Submersible Pumps (WDM (Nidec) NHE Series high-head submersible)</t>
        </is>
      </c>
      <c r="C4" s="21" t="n">
        <v>2</v>
      </c>
      <c r="D4" s="30" t="n">
        <v>200000</v>
      </c>
      <c r="E4" s="31">
        <f>D4*C4</f>
        <v/>
      </c>
      <c r="F4" t="n">
        <v>10</v>
      </c>
      <c r="L4" s="1" t="n">
        <v>0</v>
      </c>
      <c r="M4" s="1" t="n">
        <v>1</v>
      </c>
      <c r="N4" s="1" t="n">
        <v>0</v>
      </c>
      <c r="O4" s="4" t="n">
        <v>1000000</v>
      </c>
      <c r="P4" s="1" t="n">
        <v>0</v>
      </c>
      <c r="Q4" s="4" t="n">
        <v>150000</v>
      </c>
      <c r="R4" s="4" t="n">
        <v>150000</v>
      </c>
    </row>
    <row r="5">
      <c r="A5" s="1" t="n"/>
      <c r="B5" s="1" t="inlineStr">
        <is>
          <t>Battery (Tesla Megapack 3.9MWh unit)</t>
        </is>
      </c>
      <c r="C5" s="13" t="n">
        <v>1</v>
      </c>
      <c r="D5" s="30" t="n">
        <v>2600000</v>
      </c>
      <c r="E5" s="31">
        <f>D5*C5</f>
        <v/>
      </c>
      <c r="F5" t="n">
        <v>15</v>
      </c>
      <c r="L5" s="1" t="n">
        <v>0.1</v>
      </c>
      <c r="M5" s="1" t="n">
        <v>0.9</v>
      </c>
      <c r="N5" s="4" t="n">
        <v>1000</v>
      </c>
      <c r="O5" s="4" t="n">
        <v>900000</v>
      </c>
      <c r="P5" s="4" t="n">
        <v>125000</v>
      </c>
      <c r="Q5" s="4" t="n">
        <v>135000</v>
      </c>
      <c r="R5" s="4" t="n">
        <v>260000</v>
      </c>
    </row>
    <row r="6">
      <c r="A6" s="1" t="n"/>
      <c r="B6" s="1" t="inlineStr">
        <is>
          <t>Booster Pumps (Grundfos CR 10-10 K)</t>
        </is>
      </c>
      <c r="C6" s="21" t="n">
        <v>4</v>
      </c>
      <c r="D6" s="30" t="n">
        <v>6000</v>
      </c>
      <c r="E6" s="31">
        <f>D6*C6</f>
        <v/>
      </c>
      <c r="F6" t="n">
        <v>15</v>
      </c>
      <c r="L6" s="1" t="n">
        <v>0.2</v>
      </c>
      <c r="M6" s="1" t="n">
        <v>0.8</v>
      </c>
      <c r="N6" s="4" t="n">
        <v>2000</v>
      </c>
      <c r="O6" s="4" t="n">
        <v>800000</v>
      </c>
      <c r="P6" s="4" t="n">
        <v>250000</v>
      </c>
      <c r="Q6" s="4" t="n">
        <v>120000</v>
      </c>
      <c r="R6" s="4" t="n">
        <v>370000</v>
      </c>
    </row>
    <row r="7">
      <c r="A7" s="1" t="n"/>
      <c r="B7" s="1" t="inlineStr">
        <is>
          <t>Pure Aqua Large Reverse Osmosis System RO-600 (Includes Pre and Post treatment)</t>
        </is>
      </c>
      <c r="C7" s="1" t="n">
        <v>1</v>
      </c>
      <c r="D7" s="32" t="n">
        <v>3500000</v>
      </c>
      <c r="E7" s="31">
        <f>D7*C7</f>
        <v/>
      </c>
      <c r="F7" t="n">
        <v>20</v>
      </c>
      <c r="L7" s="1" t="n">
        <v>0.3</v>
      </c>
      <c r="M7" s="1" t="n">
        <v>0.7</v>
      </c>
      <c r="N7" s="4" t="n">
        <v>3000</v>
      </c>
      <c r="O7" s="4" t="n">
        <v>700000</v>
      </c>
      <c r="P7" s="4" t="n">
        <v>375000</v>
      </c>
      <c r="Q7" s="4" t="n">
        <v>105000</v>
      </c>
      <c r="R7" s="4" t="n">
        <v>480000</v>
      </c>
    </row>
    <row r="8">
      <c r="A8" s="1" t="n"/>
      <c r="B8" s="1" t="inlineStr">
        <is>
          <t>Brine Disposal Well</t>
        </is>
      </c>
      <c r="C8" s="21" t="n">
        <v>1</v>
      </c>
      <c r="D8" s="30" t="n">
        <v>2300000</v>
      </c>
      <c r="E8" s="31">
        <f>D8*C8</f>
        <v/>
      </c>
      <c r="F8" t="n">
        <v>30</v>
      </c>
      <c r="L8" s="1" t="n">
        <v>0.4</v>
      </c>
      <c r="M8" s="1" t="n">
        <v>0.6</v>
      </c>
      <c r="N8" s="4" t="n">
        <v>4000</v>
      </c>
      <c r="O8" s="4" t="n">
        <v>600000</v>
      </c>
      <c r="P8" s="4" t="n">
        <v>500000</v>
      </c>
      <c r="Q8" s="4" t="n">
        <v>90000</v>
      </c>
      <c r="R8" s="4" t="n">
        <v>590000</v>
      </c>
    </row>
    <row r="9">
      <c r="A9" s="1" t="n"/>
      <c r="B9" s="1" t="inlineStr">
        <is>
          <t>Piping (total)</t>
        </is>
      </c>
      <c r="C9" s="13" t="n">
        <v>1</v>
      </c>
      <c r="D9" s="30" t="n">
        <v>2000000</v>
      </c>
      <c r="E9" s="31">
        <f>D9*C9</f>
        <v/>
      </c>
      <c r="F9" t="n">
        <v>30</v>
      </c>
      <c r="L9" s="1" t="n">
        <v>0.5</v>
      </c>
      <c r="M9" s="1" t="n">
        <v>0.5</v>
      </c>
      <c r="N9" s="4" t="n">
        <v>5000</v>
      </c>
      <c r="O9" s="4" t="n">
        <v>500000</v>
      </c>
      <c r="P9" s="4" t="n">
        <v>625000</v>
      </c>
      <c r="Q9" s="4" t="n">
        <v>75000</v>
      </c>
      <c r="R9" s="4" t="n">
        <v>700000</v>
      </c>
    </row>
    <row r="10">
      <c r="A10" s="1" t="n"/>
      <c r="B10" s="23" t="inlineStr">
        <is>
          <t>Total</t>
        </is>
      </c>
      <c r="C10" s="24" t="n"/>
      <c r="D10" s="33" t="n"/>
      <c r="E10" s="34">
        <f>SUM(E2:E9)</f>
        <v/>
      </c>
      <c r="L10" s="1" t="n">
        <v>0.6</v>
      </c>
      <c r="M10" s="1" t="n">
        <v>0.4</v>
      </c>
      <c r="N10" s="4" t="n">
        <v>6000</v>
      </c>
      <c r="O10" s="4" t="n">
        <v>400000</v>
      </c>
      <c r="P10" s="4" t="n">
        <v>750000</v>
      </c>
      <c r="Q10" s="4" t="n">
        <v>60000</v>
      </c>
      <c r="R10" s="4" t="n">
        <v>810000</v>
      </c>
    </row>
    <row r="11">
      <c r="A11" s="1" t="n"/>
      <c r="B11" s="3" t="n"/>
      <c r="C11" s="1" t="n"/>
      <c r="D11" s="32" t="n"/>
      <c r="E11" s="34" t="n"/>
      <c r="L11" s="1" t="n">
        <v>0.7</v>
      </c>
      <c r="M11" s="1" t="n">
        <v>0.3</v>
      </c>
      <c r="N11" s="4" t="n">
        <v>7000</v>
      </c>
      <c r="O11" s="4" t="n">
        <v>300000</v>
      </c>
      <c r="P11" s="4" t="n">
        <v>875000</v>
      </c>
      <c r="Q11" s="4" t="n">
        <v>45000</v>
      </c>
      <c r="R11" s="4" t="n">
        <v>920000</v>
      </c>
    </row>
    <row r="12">
      <c r="A12" s="3" t="n"/>
      <c r="B12" s="1" t="n"/>
      <c r="C12" s="1" t="n"/>
      <c r="D12" s="1" t="n"/>
      <c r="E12" s="1" t="n"/>
      <c r="L12" s="1" t="n">
        <v>0.8</v>
      </c>
      <c r="M12" s="1" t="n">
        <v>0.2</v>
      </c>
      <c r="N12" s="4" t="n">
        <v>8000</v>
      </c>
      <c r="O12" s="4" t="n">
        <v>200000</v>
      </c>
      <c r="P12" s="4" t="n">
        <v>1000000</v>
      </c>
      <c r="Q12" s="4" t="n">
        <v>30000</v>
      </c>
      <c r="R12" s="4" t="n">
        <v>1030000</v>
      </c>
    </row>
    <row r="13">
      <c r="A13" s="1" t="n"/>
      <c r="B13" s="1" t="n"/>
      <c r="C13" s="1" t="n"/>
      <c r="D13" s="1" t="n"/>
      <c r="E13" s="1" t="n"/>
      <c r="F13" s="1" t="n"/>
      <c r="G13" s="1" t="n"/>
      <c r="L13" s="1" t="n">
        <v>0.9</v>
      </c>
      <c r="M13" s="1" t="n">
        <v>0.1</v>
      </c>
      <c r="N13" s="4" t="n">
        <v>9000</v>
      </c>
      <c r="O13" s="4" t="n">
        <v>100000</v>
      </c>
      <c r="P13" s="4" t="n">
        <v>1125000</v>
      </c>
      <c r="Q13" s="4" t="n">
        <v>15000</v>
      </c>
      <c r="R13" s="4" t="n">
        <v>1140000</v>
      </c>
    </row>
    <row r="14">
      <c r="A14" s="1" t="n"/>
      <c r="B14" s="2" t="inlineStr">
        <is>
          <t>Mechanical Components</t>
        </is>
      </c>
      <c r="C14" s="2" t="inlineStr">
        <is>
          <t>Quantity</t>
        </is>
      </c>
      <c r="D14" s="2" t="inlineStr">
        <is>
          <t>Cost (USD)</t>
        </is>
      </c>
      <c r="E14" s="9" t="inlineStr">
        <is>
          <t>Lifespan</t>
        </is>
      </c>
      <c r="F14" s="1" t="n"/>
      <c r="G14" s="1" t="n"/>
      <c r="L14" s="1" t="n">
        <v>1</v>
      </c>
      <c r="M14" s="1" t="n">
        <v>0</v>
      </c>
      <c r="N14" s="4" t="n">
        <v>10000</v>
      </c>
      <c r="O14" s="1" t="n">
        <v>0</v>
      </c>
      <c r="P14" s="4" t="n">
        <v>1250000</v>
      </c>
      <c r="Q14" s="1" t="n">
        <v>0</v>
      </c>
      <c r="R14" s="4" t="n">
        <v>1250000</v>
      </c>
    </row>
    <row r="15">
      <c r="A15" s="1" t="n"/>
      <c r="B15" s="24" t="inlineStr">
        <is>
          <t>1 MW Aeromotor Turbine</t>
        </is>
      </c>
      <c r="C15" s="24" t="n">
        <v>1</v>
      </c>
      <c r="D15" s="33" t="n">
        <v>1000000</v>
      </c>
      <c r="E15" s="10" t="n">
        <v>25</v>
      </c>
      <c r="F15" s="10" t="n"/>
      <c r="G15" s="7" t="n"/>
    </row>
    <row r="16">
      <c r="A16" s="1" t="n"/>
      <c r="B16" s="24" t="inlineStr">
        <is>
          <t>Wind turbine rotor lock</t>
        </is>
      </c>
      <c r="C16" s="24" t="n">
        <v>3</v>
      </c>
      <c r="D16" s="33" t="n">
        <v>15000</v>
      </c>
      <c r="E16" s="10" t="n">
        <v>20</v>
      </c>
      <c r="F16" s="10" t="n"/>
      <c r="G16" s="1" t="n"/>
    </row>
    <row r="17">
      <c r="A17" s="1" t="n"/>
      <c r="B17" s="1" t="inlineStr">
        <is>
          <t>Gearbox (Winergy  PEAB series)</t>
        </is>
      </c>
      <c r="C17" s="1" t="n">
        <v>1</v>
      </c>
      <c r="D17" s="30" t="n">
        <v>200000</v>
      </c>
      <c r="E17" s="10" t="n">
        <v>20</v>
      </c>
      <c r="F17" s="10" t="n"/>
      <c r="G17" s="1" t="n"/>
    </row>
    <row r="18">
      <c r="A18" s="1" t="n"/>
      <c r="B18" s="1" t="inlineStr">
        <is>
          <t>Variable-Displacement Hydraulic Power Unit (HPU)</t>
        </is>
      </c>
      <c r="C18" s="1" t="n">
        <v>1</v>
      </c>
      <c r="D18" s="30" t="n">
        <v>300000</v>
      </c>
      <c r="E18" s="10" t="n">
        <v>15</v>
      </c>
      <c r="F18" s="10" t="n"/>
      <c r="G18" s="1" t="n"/>
    </row>
    <row r="19">
      <c r="A19" s="1" t="n"/>
      <c r="B19" s="1" t="inlineStr">
        <is>
          <t>300 Bar Hydraulic Manifold (Custom Ductile Iron Block)</t>
        </is>
      </c>
      <c r="C19" s="1" t="n">
        <v>1</v>
      </c>
      <c r="D19" s="30" t="n">
        <v>20000</v>
      </c>
      <c r="E19" s="10" t="n">
        <v>20</v>
      </c>
      <c r="F19" s="10" t="inlineStr">
        <is>
          <t>Note: likely will not be COTS, need custom engineering solutions for this scale</t>
        </is>
      </c>
      <c r="G19" s="1" t="n"/>
    </row>
    <row r="20">
      <c r="A20" s="1" t="n"/>
      <c r="B20" s="1" t="inlineStr">
        <is>
          <t>Hydraulic Motor (225 kW rating) (Haaglund CA 50)</t>
        </is>
      </c>
      <c r="C20" s="1" t="n">
        <v>2</v>
      </c>
      <c r="D20" s="30" t="n">
        <v>60000</v>
      </c>
      <c r="E20" s="10" t="n">
        <v>15</v>
      </c>
      <c r="F20" s="10" t="inlineStr">
        <is>
          <t>Note: likely will not be COTS, need custom engineering solutions for this scale</t>
        </is>
      </c>
      <c r="G20" s="1" t="n"/>
    </row>
    <row r="21">
      <c r="A21" s="1" t="n"/>
      <c r="B21" s="1" t="inlineStr">
        <is>
          <t>Hydraulic Motor (225 kW rating) (Haaglund CA 70)</t>
        </is>
      </c>
      <c r="C21" s="1" t="n">
        <v>1</v>
      </c>
      <c r="D21" s="30" t="n">
        <v>50000</v>
      </c>
      <c r="E21" s="10" t="n">
        <v>15</v>
      </c>
      <c r="F21" s="10" t="n"/>
      <c r="G21" s="1" t="n"/>
    </row>
    <row r="22">
      <c r="A22" s="1" t="n"/>
      <c r="B22" s="1" t="inlineStr">
        <is>
          <t>Vertical Turbine Pump (PSI Prolew Flowserve VTP)</t>
        </is>
      </c>
      <c r="C22" s="1" t="n">
        <v>1</v>
      </c>
      <c r="D22" s="30" t="n">
        <v>60000</v>
      </c>
      <c r="E22" s="10" t="n">
        <v>15</v>
      </c>
      <c r="F22" s="10" t="n"/>
      <c r="G22" s="1" t="n"/>
    </row>
    <row r="23">
      <c r="A23" s="1" t="n"/>
      <c r="B23" s="1" t="inlineStr">
        <is>
          <t>Plunger Pump (Triplex Plunger Pump K 13000 – 3G)</t>
        </is>
      </c>
      <c r="C23" s="1" t="n">
        <v>1</v>
      </c>
      <c r="D23" s="30" t="n">
        <v>35000</v>
      </c>
      <c r="E23" s="10" t="n">
        <v>20</v>
      </c>
      <c r="F23" s="10" t="n"/>
      <c r="G23" s="1" t="n"/>
    </row>
    <row r="24">
      <c r="A24" s="1" t="n"/>
      <c r="B24" s="1" t="inlineStr">
        <is>
          <t>High Pressure Pump (Danfoss APP 78/1500 180B7808 (1300 L/min)</t>
        </is>
      </c>
      <c r="C24" s="1" t="n">
        <v>3</v>
      </c>
      <c r="D24" s="30" t="n">
        <v>100000</v>
      </c>
      <c r="E24" s="10" t="n">
        <v>15</v>
      </c>
      <c r="F24" s="10" t="n"/>
      <c r="G24" s="1" t="n"/>
    </row>
    <row r="25">
      <c r="A25" s="1" t="n"/>
      <c r="B25" s="24" t="inlineStr">
        <is>
          <t>Gate valve</t>
        </is>
      </c>
      <c r="C25" s="24" t="n">
        <v>2</v>
      </c>
      <c r="D25" s="33" t="n">
        <v>8000</v>
      </c>
      <c r="E25" s="10" t="n">
        <v>15</v>
      </c>
      <c r="F25" s="10" t="n"/>
      <c r="G25" s="1" t="n"/>
    </row>
    <row r="26">
      <c r="A26" s="1" t="n"/>
      <c r="B26" s="1" t="inlineStr">
        <is>
          <t>Pure Aqua Large Reverse Osmosis System RO-600 (Includes Pre and Post treatment)</t>
        </is>
      </c>
      <c r="C26" s="1" t="n">
        <v>1</v>
      </c>
      <c r="D26" s="32" t="n">
        <v>3500000</v>
      </c>
      <c r="E26" s="10" t="n">
        <v>20</v>
      </c>
      <c r="F26" s="10" t="n"/>
      <c r="G26" s="1" t="n"/>
    </row>
    <row r="27">
      <c r="A27" s="1" t="n"/>
      <c r="B27" s="1" t="inlineStr">
        <is>
          <t>Extra storage tank (100,000 gallons)</t>
        </is>
      </c>
      <c r="C27" s="1" t="n">
        <v>2</v>
      </c>
      <c r="D27" s="32" t="n">
        <v>140000</v>
      </c>
      <c r="E27" s="10" t="n">
        <v>30</v>
      </c>
      <c r="F27" s="10" t="n"/>
      <c r="G27" s="1" t="n"/>
    </row>
    <row r="28">
      <c r="A28" s="1" t="n"/>
      <c r="B28" s="24" t="inlineStr">
        <is>
          <t>Pipes (total)</t>
        </is>
      </c>
      <c r="C28" s="24" t="n"/>
      <c r="D28" s="33" t="n">
        <v>2000000</v>
      </c>
      <c r="E28" s="10" t="n">
        <v>30</v>
      </c>
      <c r="F28" s="10" t="n"/>
      <c r="G28" s="1" t="n"/>
    </row>
    <row r="29">
      <c r="A29" s="1" t="n"/>
      <c r="B29" s="3" t="inlineStr">
        <is>
          <t>Total</t>
        </is>
      </c>
      <c r="C29" s="3" t="n"/>
      <c r="D29" s="35">
        <f>SUM(D15:D27)</f>
        <v/>
      </c>
      <c r="E29" s="10" t="n"/>
      <c r="F29" s="10" t="n"/>
      <c r="G29" s="1" t="n"/>
    </row>
    <row r="30">
      <c r="A30" s="3" t="n"/>
      <c r="B30" s="11" t="n"/>
      <c r="C30" s="11" t="n"/>
      <c r="D30" s="36" t="n"/>
      <c r="E30" s="10" t="n"/>
      <c r="F30" s="10" t="n"/>
      <c r="G30" s="3" t="n"/>
    </row>
    <row r="31">
      <c r="A31" s="1" t="n"/>
      <c r="B31" s="11" t="n"/>
      <c r="C31" s="11" t="n"/>
      <c r="D31" s="36" t="n"/>
      <c r="E31" s="10" t="n"/>
      <c r="F31" s="10" t="n"/>
      <c r="G31" s="1" t="n"/>
    </row>
    <row r="32">
      <c r="A32" s="1" t="n"/>
      <c r="B32" s="9" t="inlineStr">
        <is>
          <t>Hybrid Components</t>
        </is>
      </c>
      <c r="C32" s="9" t="inlineStr">
        <is>
          <t>Quantity</t>
        </is>
      </c>
      <c r="D32" s="9" t="inlineStr">
        <is>
          <t>Cost (USD)</t>
        </is>
      </c>
      <c r="E32" s="9" t="inlineStr">
        <is>
          <t>Lifespan</t>
        </is>
      </c>
      <c r="F32" s="10" t="n"/>
      <c r="G32" s="1" t="n"/>
    </row>
    <row r="33">
      <c r="B33" s="24" t="inlineStr">
        <is>
          <t>1 MW Aeromotor Turbine</t>
        </is>
      </c>
      <c r="C33" s="24" t="n">
        <v>1</v>
      </c>
      <c r="D33" s="33" t="n">
        <v>1000000</v>
      </c>
      <c r="E33" t="n">
        <v>25</v>
      </c>
    </row>
    <row r="34">
      <c r="B34" s="24" t="inlineStr">
        <is>
          <t>Wind turbine rotor lock</t>
        </is>
      </c>
      <c r="C34" s="24" t="n">
        <v>3</v>
      </c>
      <c r="D34" s="33" t="n">
        <v>15000</v>
      </c>
      <c r="E34" t="n">
        <v>20</v>
      </c>
    </row>
    <row r="35">
      <c r="B35" s="1" t="inlineStr">
        <is>
          <t>Gearbox (Winergy  PEAB series) - Must be ordered with second output shaft</t>
        </is>
      </c>
      <c r="C35" s="1" t="n">
        <v>1</v>
      </c>
      <c r="D35" s="30" t="n">
        <v>200000</v>
      </c>
      <c r="E35" t="n">
        <v>20</v>
      </c>
      <c r="F35" s="10" t="inlineStr">
        <is>
          <t>Note: likely will not be COTS, need custom engineering solutions for this scale</t>
        </is>
      </c>
    </row>
    <row r="36">
      <c r="B36" s="1" t="inlineStr">
        <is>
          <t>Variable-Displacement Hydraulic Power Unit (HPU)</t>
        </is>
      </c>
      <c r="C36" s="1" t="n">
        <v>1</v>
      </c>
      <c r="D36" s="30" t="n">
        <v>300000</v>
      </c>
      <c r="E36" t="n">
        <v>15</v>
      </c>
    </row>
    <row r="37">
      <c r="B37" s="1" t="inlineStr">
        <is>
          <t>Hydraulic Motor (225 kW rating) (Haaglund CA 70)</t>
        </is>
      </c>
      <c r="C37" s="1" t="n">
        <v>1</v>
      </c>
      <c r="D37" s="30" t="n">
        <v>50000</v>
      </c>
      <c r="E37" t="n">
        <v>15</v>
      </c>
    </row>
    <row r="38">
      <c r="B38" s="1" t="inlineStr">
        <is>
          <t>Vertical Turbine Pump (PSI Prolew Flowserve VTP)</t>
        </is>
      </c>
      <c r="C38" s="1" t="n">
        <v>1</v>
      </c>
      <c r="D38" s="30" t="n">
        <v>60000</v>
      </c>
      <c r="E38" t="n">
        <v>15</v>
      </c>
    </row>
    <row r="39">
      <c r="B39" s="1" t="inlineStr">
        <is>
          <t>Extra storage tank (100,000 gallons)</t>
        </is>
      </c>
      <c r="C39" s="1" t="n">
        <v>2</v>
      </c>
      <c r="D39" s="32" t="n">
        <v>140000</v>
      </c>
      <c r="E39" t="n">
        <v>30</v>
      </c>
    </row>
    <row r="40">
      <c r="B40" s="24" t="inlineStr">
        <is>
          <t>Pipes (total)</t>
        </is>
      </c>
      <c r="C40" s="24" t="n"/>
      <c r="D40" s="33" t="n">
        <v>2000000</v>
      </c>
      <c r="E40" t="n">
        <v>30</v>
      </c>
    </row>
    <row r="41">
      <c r="B41" s="16" t="inlineStr">
        <is>
          <t>PLC (Siemens SIMATIC S7-1200 CPU1215C-1)</t>
        </is>
      </c>
      <c r="C41" s="20" t="n">
        <v>2</v>
      </c>
      <c r="D41" s="28" t="n">
        <v>5200</v>
      </c>
      <c r="E41" t="n">
        <v>15</v>
      </c>
    </row>
    <row r="42">
      <c r="B42" s="1" t="inlineStr">
        <is>
          <t>Battery (Tesla Megapack 3.9MWh unit)</t>
        </is>
      </c>
      <c r="C42" s="13" t="n">
        <v>1</v>
      </c>
      <c r="D42" s="30" t="n">
        <v>2600000</v>
      </c>
      <c r="E42" t="n">
        <v>15</v>
      </c>
    </row>
    <row r="43">
      <c r="B43" s="1" t="inlineStr">
        <is>
          <t>Pure Aqua Large Reverse Osmosis System RO-600 (Includes Pre and Post treatment)</t>
        </is>
      </c>
      <c r="C43" s="1" t="n">
        <v>1</v>
      </c>
      <c r="D43" s="32" t="n">
        <v>3500000</v>
      </c>
      <c r="E43" t="n">
        <v>20</v>
      </c>
    </row>
    <row r="44">
      <c r="B44" s="1" t="inlineStr">
        <is>
          <t>High Pressure Pump (Danfoss APP 78/1500 180B7808 (1300 L/min)</t>
        </is>
      </c>
      <c r="C44" s="1" t="n">
        <v>3</v>
      </c>
      <c r="D44" s="30" t="n">
        <v>100000</v>
      </c>
      <c r="E44" t="n">
        <v>15</v>
      </c>
    </row>
    <row r="45">
      <c r="B45" s="1" t="inlineStr">
        <is>
          <t xml:space="preserve">HCI544E 3-Phase - Stamford | 600 kW </t>
        </is>
      </c>
      <c r="C45" s="1" t="n">
        <v>1</v>
      </c>
      <c r="D45" s="30" t="n">
        <v>200000</v>
      </c>
      <c r="E45" t="n">
        <v>20</v>
      </c>
    </row>
    <row r="46" ht="15" customHeight="1">
      <c r="B46" s="1" t="inlineStr">
        <is>
          <t>Rectifier/Inverter Package</t>
        </is>
      </c>
      <c r="C46" s="1" t="n">
        <v>1</v>
      </c>
      <c r="D46" s="30" t="n">
        <v>60000</v>
      </c>
      <c r="E46" t="n">
        <v>15</v>
      </c>
    </row>
    <row r="47" ht="15" customHeight="1">
      <c r="B47" s="6" t="inlineStr">
        <is>
          <t>Total</t>
        </is>
      </c>
      <c r="D47" s="34">
        <f>SUM(D33:D44)</f>
        <v/>
      </c>
    </row>
    <row r="51" ht="15" customHeight="1">
      <c r="B51" s="6" t="inlineStr">
        <is>
          <t>Energy Required for each subsystem</t>
        </is>
      </c>
      <c r="C51" s="27" t="inlineStr">
        <is>
          <t>All the same, just configured differently due to different layouts</t>
        </is>
      </c>
      <c r="D51" s="27" t="n"/>
      <c r="E51" s="27" t="n"/>
    </row>
    <row r="52" ht="15" customHeight="1">
      <c r="B52" s="27" t="inlineStr">
        <is>
          <t>Groundwater extraction</t>
        </is>
      </c>
      <c r="C52" t="inlineStr">
        <is>
          <t>185.8 kW</t>
        </is>
      </c>
    </row>
    <row r="53" ht="15" customHeight="1">
      <c r="B53" s="27" t="inlineStr">
        <is>
          <t>Pressure boost</t>
        </is>
      </c>
      <c r="C53" t="inlineStr">
        <is>
          <t>61.8 kW</t>
        </is>
      </c>
    </row>
    <row r="54" ht="15" customHeight="1">
      <c r="B54" s="27" t="inlineStr">
        <is>
          <t>RO desalination</t>
        </is>
      </c>
      <c r="C54" t="inlineStr">
        <is>
          <t>311.5 kW</t>
        </is>
      </c>
    </row>
    <row r="55" ht="15" customHeight="1">
      <c r="B55" s="5" t="inlineStr">
        <is>
          <t>Brine reinjection</t>
        </is>
      </c>
      <c r="C55" t="inlineStr">
        <is>
          <t>81.9 kW</t>
        </is>
      </c>
    </row>
    <row r="56">
      <c r="B56" t="inlineStr">
        <is>
          <t>Total</t>
        </is>
      </c>
      <c r="C56" t="inlineStr">
        <is>
          <t>641.0 kW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B1" sqref="B1"/>
    </sheetView>
  </sheetViews>
  <sheetFormatPr baseColWidth="8" defaultRowHeight="15"/>
  <cols>
    <col width="6.85546875" customWidth="1" min="3" max="3"/>
  </cols>
  <sheetData>
    <row r="1">
      <c r="A1" s="5" t="inlineStr">
        <is>
          <t>TDS</t>
        </is>
      </c>
      <c r="B1" s="6" t="inlineStr">
        <is>
          <t>kW delta (RO Desalination) from design [TDS=950 ppm]</t>
        </is>
      </c>
      <c r="D1" s="5" t="inlineStr">
        <is>
          <t>Depth</t>
        </is>
      </c>
      <c r="E1" s="6" t="inlineStr">
        <is>
          <t>kW delta (pump energy) from design [depth=275 m]</t>
        </is>
      </c>
    </row>
    <row r="2">
      <c r="A2" t="n">
        <v>0</v>
      </c>
      <c r="B2" t="n">
        <v>-13.875</v>
      </c>
      <c r="D2" t="n">
        <v>0</v>
      </c>
      <c r="E2" t="n">
        <v>-185.8</v>
      </c>
    </row>
    <row r="3">
      <c r="A3" t="n">
        <v>100</v>
      </c>
      <c r="B3" t="n">
        <v>-12.415</v>
      </c>
      <c r="D3" t="n">
        <v>100</v>
      </c>
      <c r="E3" t="n">
        <v>-118.236</v>
      </c>
    </row>
    <row r="4">
      <c r="A4" t="n">
        <v>200</v>
      </c>
      <c r="B4" t="n">
        <v>-10.954</v>
      </c>
      <c r="D4" t="n">
        <v>200</v>
      </c>
      <c r="E4" t="n">
        <v>-50.673</v>
      </c>
    </row>
    <row r="5">
      <c r="A5" t="n">
        <v>300</v>
      </c>
      <c r="B5" t="n">
        <v>-9.493</v>
      </c>
      <c r="D5" t="n">
        <v>300</v>
      </c>
      <c r="E5" t="n">
        <v>16.891</v>
      </c>
    </row>
    <row r="6">
      <c r="A6" t="n">
        <v>400</v>
      </c>
      <c r="B6" t="n">
        <v>-8.032999999999999</v>
      </c>
      <c r="D6" t="n">
        <v>400</v>
      </c>
      <c r="E6" t="n">
        <v>84.455</v>
      </c>
    </row>
    <row r="7">
      <c r="A7" t="n">
        <v>500</v>
      </c>
      <c r="B7" t="n">
        <v>-6.572</v>
      </c>
      <c r="D7" t="n">
        <v>500</v>
      </c>
      <c r="E7" t="n">
        <v>152.018</v>
      </c>
    </row>
    <row r="8">
      <c r="A8" t="n">
        <v>600</v>
      </c>
      <c r="B8" t="n">
        <v>-5.112</v>
      </c>
      <c r="D8" t="n">
        <v>600</v>
      </c>
      <c r="E8" t="n">
        <v>219.582</v>
      </c>
    </row>
    <row r="9">
      <c r="A9" t="n">
        <v>700</v>
      </c>
      <c r="B9" t="n">
        <v>-3.651</v>
      </c>
      <c r="D9" t="n">
        <v>700</v>
      </c>
      <c r="E9" t="n">
        <v>287.145</v>
      </c>
    </row>
    <row r="10">
      <c r="A10" t="n">
        <v>800</v>
      </c>
      <c r="B10" t="n">
        <v>-2.191</v>
      </c>
      <c r="D10" t="n">
        <v>800</v>
      </c>
      <c r="E10" t="n">
        <v>354.709</v>
      </c>
    </row>
    <row r="11">
      <c r="A11" t="n">
        <v>900</v>
      </c>
      <c r="B11" t="n">
        <v>-0.73</v>
      </c>
      <c r="D11" t="n">
        <v>900</v>
      </c>
      <c r="E11" t="n">
        <v>422.273</v>
      </c>
    </row>
    <row r="12">
      <c r="A12" t="n">
        <v>1000</v>
      </c>
      <c r="B12" t="n">
        <v>0.73</v>
      </c>
      <c r="D12" t="n">
        <v>1000</v>
      </c>
      <c r="E12" t="n">
        <v>489.836</v>
      </c>
    </row>
    <row r="13">
      <c r="A13" t="n">
        <v>1100</v>
      </c>
      <c r="B13" t="n">
        <v>2.191</v>
      </c>
      <c r="D13" t="n">
        <v>1100</v>
      </c>
      <c r="E13" t="n">
        <v>557.4</v>
      </c>
    </row>
    <row r="14">
      <c r="A14" t="n">
        <v>1200</v>
      </c>
      <c r="B14" t="n">
        <v>3.651</v>
      </c>
      <c r="D14" t="n">
        <v>1200</v>
      </c>
      <c r="E14" t="n">
        <v>624.9640000000001</v>
      </c>
    </row>
    <row r="15">
      <c r="A15" t="n">
        <v>1300</v>
      </c>
      <c r="B15" t="n">
        <v>5.112</v>
      </c>
      <c r="D15" t="n">
        <v>1300</v>
      </c>
      <c r="E15" t="n">
        <v>692.527</v>
      </c>
    </row>
    <row r="16">
      <c r="A16" t="n">
        <v>1400</v>
      </c>
      <c r="B16" t="n">
        <v>6.572</v>
      </c>
      <c r="D16" t="n">
        <v>1400</v>
      </c>
      <c r="E16" t="n">
        <v>760.091</v>
      </c>
    </row>
    <row r="17">
      <c r="A17" t="n">
        <v>1500</v>
      </c>
      <c r="B17" t="n">
        <v>8.032999999999999</v>
      </c>
      <c r="D17" t="n">
        <v>1500</v>
      </c>
      <c r="E17" t="n">
        <v>827.655</v>
      </c>
    </row>
    <row r="18">
      <c r="A18" t="n">
        <v>1600</v>
      </c>
      <c r="B18" t="n">
        <v>9.493</v>
      </c>
      <c r="D18" t="n">
        <v>1600</v>
      </c>
      <c r="E18" t="n">
        <v>895.218</v>
      </c>
    </row>
    <row r="19">
      <c r="A19" t="n">
        <v>1700</v>
      </c>
      <c r="B19" t="n">
        <v>10.954</v>
      </c>
      <c r="D19" t="n">
        <v>1700</v>
      </c>
      <c r="E19" t="n">
        <v>962.782</v>
      </c>
    </row>
    <row r="20">
      <c r="A20" t="n">
        <v>1800</v>
      </c>
      <c r="B20" t="n">
        <v>12.415</v>
      </c>
      <c r="D20" t="n">
        <v>1800</v>
      </c>
      <c r="E20" t="n">
        <v>1030.345</v>
      </c>
    </row>
    <row r="21">
      <c r="A21" t="n">
        <v>1900</v>
      </c>
      <c r="B21" t="n">
        <v>13.875</v>
      </c>
      <c r="D21" t="n">
        <v>1900</v>
      </c>
      <c r="E21" t="n">
        <v>1097.909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Ren, Kevin Y</dc:creator>
  <dcterms:created xmlns:dcterms="http://purl.org/dc/terms/" xmlns:xsi="http://www.w3.org/2001/XMLSchema-instance" xsi:type="dcterms:W3CDTF">2026-02-21T02:25:14Z</dcterms:created>
  <dcterms:modified xmlns:dcterms="http://purl.org/dc/terms/" xmlns:xsi="http://www.w3.org/2001/XMLSchema-instance" xsi:type="dcterms:W3CDTF">2026-04-10T23:46:08Z</dcterms:modified>
</cp:coreProperties>
</file>